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emPC\Desktop\"/>
    </mc:Choice>
  </mc:AlternateContent>
  <xr:revisionPtr revIDLastSave="0" documentId="13_ncr:1_{FBF2DC88-09D5-4C43-890A-11A2184F0983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100_10" sheetId="1" r:id="rId1"/>
    <sheet name="100_20" sheetId="4" r:id="rId2"/>
    <sheet name="100_30" sheetId="5" r:id="rId3"/>
    <sheet name="100_60" sheetId="6" r:id="rId4"/>
    <sheet name="200_60" sheetId="7" r:id="rId5"/>
    <sheet name="300_60" sheetId="8" r:id="rId6"/>
    <sheet name="400_60" sheetId="9" r:id="rId7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7" l="1"/>
  <c r="I4" i="7"/>
  <c r="H4" i="7"/>
  <c r="J4" i="7" s="1"/>
  <c r="E4" i="7"/>
  <c r="I3" i="7"/>
  <c r="H3" i="7"/>
  <c r="J3" i="7" s="1"/>
  <c r="E2" i="7"/>
  <c r="E1" i="7"/>
  <c r="I4" i="9"/>
  <c r="H4" i="9"/>
  <c r="J4" i="9" s="1"/>
  <c r="I3" i="9"/>
  <c r="H3" i="9"/>
  <c r="J3" i="9" s="1"/>
  <c r="I4" i="8"/>
  <c r="H4" i="8"/>
  <c r="J4" i="8" s="1"/>
  <c r="I3" i="8"/>
  <c r="H3" i="8"/>
  <c r="J3" i="8" s="1"/>
  <c r="I86" i="7"/>
  <c r="H86" i="7"/>
  <c r="J86" i="7" s="1"/>
  <c r="I85" i="7"/>
  <c r="H85" i="7"/>
  <c r="J85" i="7" s="1"/>
  <c r="I4" i="6"/>
  <c r="H4" i="6"/>
  <c r="J4" i="6" s="1"/>
  <c r="I3" i="6"/>
  <c r="H3" i="6"/>
  <c r="J3" i="6" s="1"/>
  <c r="I4" i="5"/>
  <c r="H4" i="5"/>
  <c r="J4" i="5" s="1"/>
  <c r="I3" i="5"/>
  <c r="H3" i="5"/>
  <c r="J3" i="5" s="1"/>
  <c r="I4" i="4"/>
  <c r="H4" i="4"/>
  <c r="J4" i="4" s="1"/>
  <c r="I3" i="4"/>
  <c r="H3" i="4"/>
  <c r="J3" i="4" s="1"/>
  <c r="H2" i="1"/>
  <c r="I2" i="1"/>
  <c r="H3" i="1"/>
  <c r="I3" i="1"/>
  <c r="E4" i="9"/>
  <c r="E3" i="9"/>
  <c r="E2" i="9"/>
  <c r="E1" i="9"/>
  <c r="E86" i="7"/>
  <c r="E85" i="7"/>
  <c r="E84" i="7"/>
  <c r="E83" i="7"/>
  <c r="E4" i="6"/>
  <c r="E3" i="6"/>
  <c r="E2" i="6"/>
  <c r="E1" i="6"/>
  <c r="E4" i="8"/>
  <c r="E3" i="8"/>
  <c r="E2" i="8"/>
  <c r="E1" i="8"/>
  <c r="E4" i="5"/>
  <c r="E3" i="5"/>
  <c r="E2" i="5"/>
  <c r="E1" i="5"/>
  <c r="E4" i="4"/>
  <c r="E3" i="4"/>
  <c r="E2" i="4"/>
  <c r="E1" i="4"/>
  <c r="E4" i="1"/>
  <c r="E3" i="1"/>
  <c r="E2" i="1"/>
  <c r="E1" i="1"/>
  <c r="B151" i="7"/>
  <c r="B151" i="6"/>
  <c r="J2" i="1" l="1"/>
  <c r="J3" i="1"/>
</calcChain>
</file>

<file path=xl/sharedStrings.xml><?xml version="1.0" encoding="utf-8"?>
<sst xmlns="http://schemas.openxmlformats.org/spreadsheetml/2006/main" count="972" uniqueCount="108">
  <si>
    <t>Seed 3 kontrol edildi aşağıdakiler farklı</t>
  </si>
  <si>
    <t>Seed 5 kontrol edildi aşağıdakiler farklı</t>
  </si>
  <si>
    <t>Seed 8 kontrol edildi aşağıdakiler farklı</t>
  </si>
  <si>
    <t>Seed 9 kontrol edildi aşağıdakiler farklı</t>
  </si>
  <si>
    <t>Seed 15 kontrol edildi aşağıdakiler farklı</t>
  </si>
  <si>
    <t>Seed 18 kontrol edildi aşağıdakiler farklı</t>
  </si>
  <si>
    <t>Seed 20 kontrol edildi aşağıdakiler farklı</t>
  </si>
  <si>
    <t>Seed 22 kontrol edildi aşağıdakiler farklı</t>
  </si>
  <si>
    <t>Seed 23 kontrol edildi aşağıdakiler farklı</t>
  </si>
  <si>
    <t>Seed 24 kontrol edildi aşağıdakiler farklı</t>
  </si>
  <si>
    <t>Seed 26 kontrol edildi aşağıdakiler farklı</t>
  </si>
  <si>
    <t>Seed 28 kontrol edildi aşağıdakiler farklı</t>
  </si>
  <si>
    <t>Seed 38 kontrol edildi aşağıdakiler farklı</t>
  </si>
  <si>
    <t>Seed 39 kontrol edildi aşağıdakiler farklı</t>
  </si>
  <si>
    <t>Seed 47 kontrol edildi aşağıdakiler farklı</t>
  </si>
  <si>
    <t>Seed 51 kontrol edildi aşağıdakiler farklı</t>
  </si>
  <si>
    <t>Seed 53 kontrol edildi aşağıdakiler farklı</t>
  </si>
  <si>
    <t>Seed 55 kontrol edildi aşağıdakiler farklı</t>
  </si>
  <si>
    <t>Seed 56 kontrol edildi aşağıdakiler farklı</t>
  </si>
  <si>
    <t>Seed 59 kontrol edildi aşağıdakiler farklı</t>
  </si>
  <si>
    <t>Seed 62 kontrol edildi aşağıdakiler farklı</t>
  </si>
  <si>
    <t>Seed 66 kontrol edildi aşağıdakiler farklı</t>
  </si>
  <si>
    <t>Seed 74 kontrol edildi aşağıdakiler farklı</t>
  </si>
  <si>
    <t>Seed 77 kontrol edildi aşağıdakiler farklı</t>
  </si>
  <si>
    <t>Seed 81 kontrol edildi aşağıdakiler farklı</t>
  </si>
  <si>
    <t>Seed 89 kontrol edildi aşağıdakiler farklı</t>
  </si>
  <si>
    <t>Seed 90 kontrol edildi aşağıdakiler farklı</t>
  </si>
  <si>
    <t>Seed 94 kontrol edildi aşağıdakiler farklı</t>
  </si>
  <si>
    <t>Seed 95 kontrol edildi aşağıdakiler farklı</t>
  </si>
  <si>
    <t>Seed 98 kontrol edildi aşağıdakiler farklı</t>
  </si>
  <si>
    <t xml:space="preserve">Serial Dictatorship </t>
  </si>
  <si>
    <t xml:space="preserve">GS Student Optimal  </t>
  </si>
  <si>
    <t>Seed 1 kontrol edildi aşağıdakiler farklı</t>
  </si>
  <si>
    <t>Seed 2 kontrol edildi aşağıdakiler farklı</t>
  </si>
  <si>
    <t>Seed 6 kontrol edildi aşağıdakiler farklı</t>
  </si>
  <si>
    <t>Seed 16 kontrol edildi aşağıdakiler farklı</t>
  </si>
  <si>
    <t>Seed 19 kontrol edildi aşağıdakiler farklı</t>
  </si>
  <si>
    <t>Seed 30 kontrol edildi aşağıdakiler farklı</t>
  </si>
  <si>
    <t>Seed 31 kontrol edildi aşağıdakiler farklı</t>
  </si>
  <si>
    <t>Seed 40 kontrol edildi aşağıdakiler farklı</t>
  </si>
  <si>
    <t>Seed 46 kontrol edildi aşağıdakiler farklı</t>
  </si>
  <si>
    <t>Seed 49 kontrol edildi aşağıdakiler farklı</t>
  </si>
  <si>
    <t>Seed 50 kontrol edildi aşağıdakiler farklı</t>
  </si>
  <si>
    <t>Seed 52 kontrol edildi aşağıdakiler farklı</t>
  </si>
  <si>
    <t>Seed 61 kontrol edildi aşağıdakiler farklı</t>
  </si>
  <si>
    <t>Seed 65 kontrol edildi aşağıdakiler farklı</t>
  </si>
  <si>
    <t>Seed 67 kontrol edildi aşağıdakiler farklı</t>
  </si>
  <si>
    <t>Seed 73 kontrol edildi aşağıdakiler farklı</t>
  </si>
  <si>
    <t>Seed 78 kontrol edildi aşağıdakiler farklı</t>
  </si>
  <si>
    <t>Seed 85 kontrol edildi aşağıdakiler farklı</t>
  </si>
  <si>
    <t>Seed 99 kontrol edildi aşağıdakiler farklı</t>
  </si>
  <si>
    <t>Seed 21 kontrol edildi aşağıdakiler farklı</t>
  </si>
  <si>
    <t>Seed 25 kontrol edildi aşağıdakiler farklı</t>
  </si>
  <si>
    <t>Seed 35 kontrol edildi aşağıdakiler farklı</t>
  </si>
  <si>
    <t>Seed 41 kontrol edildi aşağıdakiler farklı</t>
  </si>
  <si>
    <t>Seed 42 kontrol edildi aşağıdakiler farklı</t>
  </si>
  <si>
    <t>Seed 44 kontrol edildi aşağıdakiler farklı</t>
  </si>
  <si>
    <t>Seed 60 kontrol edildi aşağıdakiler farklı</t>
  </si>
  <si>
    <t>Seed 68 kontrol edildi aşağıdakiler farklı</t>
  </si>
  <si>
    <t>Seed 69 kontrol edildi aşağıdakiler farklı</t>
  </si>
  <si>
    <t>Seed 72 kontrol edildi aşağıdakiler farklı</t>
  </si>
  <si>
    <t>Seed 80 kontrol edildi aşağıdakiler farklı</t>
  </si>
  <si>
    <t>Seed 88 kontrol edildi aşağıdakiler farklı</t>
  </si>
  <si>
    <t>Seed 93 kontrol edildi aşağıdakiler farklı</t>
  </si>
  <si>
    <t>Seed 96 kontrol edildi aşağıdakiler farklı</t>
  </si>
  <si>
    <t>Seed 11 kontrol edildi aşağıdakiler farklı</t>
  </si>
  <si>
    <t>Seed 13 kontrol edildi aşağıdakiler farklı</t>
  </si>
  <si>
    <t>Seed 14 kontrol edildi aşağıdakiler farklı</t>
  </si>
  <si>
    <t>Seed 17 kontrol edildi aşağıdakiler farklı</t>
  </si>
  <si>
    <t>Seed 32 kontrol edildi aşağıdakiler farklı</t>
  </si>
  <si>
    <t>Seed 33 kontrol edildi aşağıdakiler farklı</t>
  </si>
  <si>
    <t>Seed 34 kontrol edildi aşağıdakiler farklı</t>
  </si>
  <si>
    <t>Seed 54 kontrol edildi aşağıdakiler farklı</t>
  </si>
  <si>
    <t>Seed 58 kontrol edildi aşağıdakiler farklı</t>
  </si>
  <si>
    <t>Seed 63 kontrol edildi aşağıdakiler farklı</t>
  </si>
  <si>
    <t>Seed 64 kontrol edildi aşağıdakiler farklı</t>
  </si>
  <si>
    <t>Seed 71 kontrol edildi aşağıdakiler farklı</t>
  </si>
  <si>
    <t>Seed 75 kontrol edildi aşağıdakiler farklı</t>
  </si>
  <si>
    <t>Seed 79 kontrol edildi aşağıdakiler farklı</t>
  </si>
  <si>
    <t>Seed 82 kontrol edildi aşağıdakiler farklı</t>
  </si>
  <si>
    <t>Seed 83 kontrol edildi aşağıdakiler farklı</t>
  </si>
  <si>
    <t>Seed 87 kontrol edildi aşağıdakiler farklı</t>
  </si>
  <si>
    <t>Seed 4 kontrol edildi aşağıdakiler farklı</t>
  </si>
  <si>
    <t>Seed 10 kontrol edildi aşağıdakiler farklı</t>
  </si>
  <si>
    <t>Seed 27 kontrol edildi aşağıdakiler farklı</t>
  </si>
  <si>
    <t>Seed 29 kontrol edildi aşağıdakiler farklı</t>
  </si>
  <si>
    <t>Seed 43 kontrol edildi aşağıdakiler farklı</t>
  </si>
  <si>
    <t>Seed 70 kontrol edildi aşağıdakiler farklı</t>
  </si>
  <si>
    <t>Seed 76 kontrol edildi aşağıdakiler farklı</t>
  </si>
  <si>
    <t>Seed 84 kontrol edildi aşağıdakiler farklı</t>
  </si>
  <si>
    <t>Seed 86 kontrol edildi aşağıdakiler farklı</t>
  </si>
  <si>
    <t>Seed 91 kontrol edildi aşağıdakiler farklı</t>
  </si>
  <si>
    <t>Seed 100 kontrol edildi aşağıdakiler farklı</t>
  </si>
  <si>
    <t>Seed 7 kontrol edildi aşağıdakiler farklı</t>
  </si>
  <si>
    <t>Seed 12 kontrol edildi aşağıdakiler farklı</t>
  </si>
  <si>
    <t>Seed 37 kontrol edildi aşağıdakiler farklı</t>
  </si>
  <si>
    <t>Seed 57 kontrol edildi aşağıdakiler farklı</t>
  </si>
  <si>
    <t>Seed 92 kontrol edildi aşağıdakiler farklı</t>
  </si>
  <si>
    <t>Seed 97 kontrol edildi aşağıdakiler farklı</t>
  </si>
  <si>
    <t>Seed 36 kontrol edildi aşağıdakiler farklı</t>
  </si>
  <si>
    <t>Seed 45 kontrol edildi aşağıdakiler farklı</t>
  </si>
  <si>
    <t>Ortalama:</t>
  </si>
  <si>
    <t>Minimum:</t>
  </si>
  <si>
    <t>Maksimum:</t>
  </si>
  <si>
    <t>Standart Sapma:</t>
  </si>
  <si>
    <t>Toplam</t>
  </si>
  <si>
    <t>Adet</t>
  </si>
  <si>
    <t>Ortalama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</si>
</sst>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0" borderId="1" xfId="0" applyBorder="1"/>
    <xf numFmtId="0" fontId="1" fillId="0" borderId="1" xfId="0" applyFont="1" applyBorder="1"/>
    <xf numFmtId="0" fontId="0" fillId="0" borderId="0" xfId="0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J90"/>
  <sheetViews>
    <sheetView tabSelected="1" zoomScale="85" zoomScaleNormal="85" workbookViewId="0">
      <selection activeCell="G85" sqref="G85"/>
    </sheetView>
  </sheetViews>
  <sheetFormatPr defaultRowHeight="15" x14ac:dyDescent="0.25"/>
  <cols>
    <col min="1" max="1" width="36.85546875" bestFit="1" customWidth="1"/>
    <col min="2" max="2" width="10" bestFit="1" customWidth="1"/>
    <col min="4" max="4" width="15" bestFit="1" customWidth="1"/>
    <col min="5" max="5" width="10" customWidth="1"/>
    <col min="6" max="6" width="4.5703125" style="4" customWidth="1"/>
    <col min="7" max="7" width="19.5703125" customWidth="1"/>
    <col min="10" max="10" width="9.140625" customWidth="1"/>
  </cols>
  <sheetData>
    <row r="1" spans="1:10" x14ac:dyDescent="0.25">
      <c r="A1" s="2" t="s">
        <v>0</v>
      </c>
      <c r="B1" s="2"/>
      <c r="D1" s="3" t="s">
        <v>101</v>
      </c>
      <c r="E1" s="2">
        <f>AVERAGE(B:B)</f>
        <v>0.82959999999999989</v>
      </c>
      <c r="G1" s="2"/>
      <c r="H1" s="3" t="s">
        <v>105</v>
      </c>
      <c r="I1" s="3" t="s">
        <v>106</v>
      </c>
      <c r="J1" s="3" t="s">
        <v>107</v>
      </c>
    </row>
    <row r="2" spans="1:10" x14ac:dyDescent="0.25">
      <c r="A2" s="2" t="s">
        <v>30</v>
      </c>
      <c r="B2" s="2">
        <v>0.85</v>
      </c>
      <c r="D2" s="3" t="s">
        <v>102</v>
      </c>
      <c r="E2" s="2">
        <f>MIN(B:B)</f>
        <v>0.72499999999999998</v>
      </c>
      <c r="F2" s="5"/>
      <c r="G2" s="2" t="s">
        <v>30</v>
      </c>
      <c r="H2" s="2">
        <f ca="1">SUMIF($A:$B,G2,$B:$B)</f>
        <v>24.669</v>
      </c>
      <c r="I2" s="2">
        <f>COUNTIF($A:$A,G2)</f>
        <v>30</v>
      </c>
      <c r="J2" s="2">
        <f ca="1">H2/I2</f>
        <v>0.82230000000000003</v>
      </c>
    </row>
    <row r="3" spans="1:10" x14ac:dyDescent="0.25">
      <c r="A3" s="2" t="s">
        <v>31</v>
      </c>
      <c r="B3" s="2">
        <v>0.86799999999999999</v>
      </c>
      <c r="D3" s="3" t="s">
        <v>103</v>
      </c>
      <c r="E3" s="2">
        <f>MAX(B:B)</f>
        <v>0.92200000000000004</v>
      </c>
      <c r="F3" s="5"/>
      <c r="G3" s="2" t="s">
        <v>31</v>
      </c>
      <c r="H3" s="2">
        <f ca="1">SUMIF($A:$B,G3,$B:$B)</f>
        <v>25.106999999999996</v>
      </c>
      <c r="I3" s="2">
        <f>COUNTIF($A:$A,G3)</f>
        <v>30</v>
      </c>
      <c r="J3" s="2">
        <f ca="1">H3/I3</f>
        <v>0.83689999999999987</v>
      </c>
    </row>
    <row r="4" spans="1:10" x14ac:dyDescent="0.25">
      <c r="A4" s="2" t="s">
        <v>1</v>
      </c>
      <c r="B4" s="2"/>
      <c r="D4" s="3" t="s">
        <v>104</v>
      </c>
      <c r="E4" s="2">
        <f>_xlfn.STDEV.P(B:B)</f>
        <v>5.2053241973963556E-2</v>
      </c>
    </row>
    <row r="5" spans="1:10" x14ac:dyDescent="0.25">
      <c r="A5" s="2" t="s">
        <v>30</v>
      </c>
      <c r="B5" s="2">
        <v>0.84199999999999997</v>
      </c>
    </row>
    <row r="6" spans="1:10" x14ac:dyDescent="0.25">
      <c r="A6" s="2" t="s">
        <v>31</v>
      </c>
      <c r="B6" s="2">
        <v>0.86499999999999999</v>
      </c>
    </row>
    <row r="7" spans="1:10" x14ac:dyDescent="0.25">
      <c r="A7" s="2" t="s">
        <v>2</v>
      </c>
      <c r="B7" s="2"/>
    </row>
    <row r="8" spans="1:10" x14ac:dyDescent="0.25">
      <c r="A8" s="2" t="s">
        <v>30</v>
      </c>
      <c r="B8" s="2">
        <v>0.85599999999999998</v>
      </c>
    </row>
    <row r="9" spans="1:10" x14ac:dyDescent="0.25">
      <c r="A9" s="2" t="s">
        <v>31</v>
      </c>
      <c r="B9" s="2">
        <v>0.86799999999999999</v>
      </c>
    </row>
    <row r="10" spans="1:10" x14ac:dyDescent="0.25">
      <c r="A10" s="2" t="s">
        <v>3</v>
      </c>
      <c r="B10" s="2"/>
    </row>
    <row r="11" spans="1:10" x14ac:dyDescent="0.25">
      <c r="A11" s="2" t="s">
        <v>30</v>
      </c>
      <c r="B11" s="2">
        <v>0.78600000000000003</v>
      </c>
    </row>
    <row r="12" spans="1:10" x14ac:dyDescent="0.25">
      <c r="A12" s="2" t="s">
        <v>31</v>
      </c>
      <c r="B12" s="2">
        <v>0.8</v>
      </c>
    </row>
    <row r="13" spans="1:10" x14ac:dyDescent="0.25">
      <c r="A13" s="2" t="s">
        <v>4</v>
      </c>
      <c r="B13" s="2"/>
    </row>
    <row r="14" spans="1:10" x14ac:dyDescent="0.25">
      <c r="A14" s="2" t="s">
        <v>30</v>
      </c>
      <c r="B14" s="2">
        <v>0.8</v>
      </c>
    </row>
    <row r="15" spans="1:10" x14ac:dyDescent="0.25">
      <c r="A15" s="2" t="s">
        <v>31</v>
      </c>
      <c r="B15" s="2">
        <v>0.81200000000000006</v>
      </c>
    </row>
    <row r="16" spans="1:10" x14ac:dyDescent="0.25">
      <c r="A16" s="2" t="s">
        <v>5</v>
      </c>
      <c r="B16" s="2"/>
    </row>
    <row r="17" spans="1:2" x14ac:dyDescent="0.25">
      <c r="A17" s="2" t="s">
        <v>30</v>
      </c>
      <c r="B17" s="2">
        <v>0.83299999999999996</v>
      </c>
    </row>
    <row r="18" spans="1:2" x14ac:dyDescent="0.25">
      <c r="A18" s="2" t="s">
        <v>31</v>
      </c>
      <c r="B18" s="2">
        <v>0.84499999999999997</v>
      </c>
    </row>
    <row r="19" spans="1:2" x14ac:dyDescent="0.25">
      <c r="A19" s="2" t="s">
        <v>6</v>
      </c>
      <c r="B19" s="2"/>
    </row>
    <row r="20" spans="1:2" x14ac:dyDescent="0.25">
      <c r="A20" s="2" t="s">
        <v>30</v>
      </c>
      <c r="B20" s="2">
        <v>0.86299999999999999</v>
      </c>
    </row>
    <row r="21" spans="1:2" x14ac:dyDescent="0.25">
      <c r="A21" s="2" t="s">
        <v>31</v>
      </c>
      <c r="B21" s="2">
        <v>0.877</v>
      </c>
    </row>
    <row r="22" spans="1:2" x14ac:dyDescent="0.25">
      <c r="A22" s="2" t="s">
        <v>7</v>
      </c>
      <c r="B22" s="2"/>
    </row>
    <row r="23" spans="1:2" x14ac:dyDescent="0.25">
      <c r="A23" s="2" t="s">
        <v>30</v>
      </c>
      <c r="B23" s="2">
        <v>0.73799999999999999</v>
      </c>
    </row>
    <row r="24" spans="1:2" x14ac:dyDescent="0.25">
      <c r="A24" s="2" t="s">
        <v>31</v>
      </c>
      <c r="B24" s="2">
        <v>0.74399999999999999</v>
      </c>
    </row>
    <row r="25" spans="1:2" x14ac:dyDescent="0.25">
      <c r="A25" s="2" t="s">
        <v>8</v>
      </c>
      <c r="B25" s="2"/>
    </row>
    <row r="26" spans="1:2" x14ac:dyDescent="0.25">
      <c r="A26" s="2" t="s">
        <v>30</v>
      </c>
      <c r="B26" s="2">
        <v>0.79100000000000004</v>
      </c>
    </row>
    <row r="27" spans="1:2" x14ac:dyDescent="0.25">
      <c r="A27" s="2" t="s">
        <v>31</v>
      </c>
      <c r="B27" s="2">
        <v>0.81699999999999995</v>
      </c>
    </row>
    <row r="28" spans="1:2" x14ac:dyDescent="0.25">
      <c r="A28" s="2" t="s">
        <v>9</v>
      </c>
      <c r="B28" s="2"/>
    </row>
    <row r="29" spans="1:2" x14ac:dyDescent="0.25">
      <c r="A29" s="2" t="s">
        <v>30</v>
      </c>
      <c r="B29" s="2">
        <v>0.72499999999999998</v>
      </c>
    </row>
    <row r="30" spans="1:2" x14ac:dyDescent="0.25">
      <c r="A30" s="2" t="s">
        <v>31</v>
      </c>
      <c r="B30" s="2">
        <v>0.73299999999999998</v>
      </c>
    </row>
    <row r="31" spans="1:2" x14ac:dyDescent="0.25">
      <c r="A31" s="2" t="s">
        <v>10</v>
      </c>
      <c r="B31" s="2"/>
    </row>
    <row r="32" spans="1:2" x14ac:dyDescent="0.25">
      <c r="A32" s="2" t="s">
        <v>30</v>
      </c>
      <c r="B32" s="2">
        <v>0.73599999999999999</v>
      </c>
    </row>
    <row r="33" spans="1:2" x14ac:dyDescent="0.25">
      <c r="A33" s="2" t="s">
        <v>31</v>
      </c>
      <c r="B33" s="2">
        <v>0.74399999999999999</v>
      </c>
    </row>
    <row r="34" spans="1:2" x14ac:dyDescent="0.25">
      <c r="A34" s="2" t="s">
        <v>11</v>
      </c>
      <c r="B34" s="2"/>
    </row>
    <row r="35" spans="1:2" x14ac:dyDescent="0.25">
      <c r="A35" s="2" t="s">
        <v>30</v>
      </c>
      <c r="B35" s="2">
        <v>0.78400000000000003</v>
      </c>
    </row>
    <row r="36" spans="1:2" x14ac:dyDescent="0.25">
      <c r="A36" s="2" t="s">
        <v>31</v>
      </c>
      <c r="B36" s="2">
        <v>0.79900000000000004</v>
      </c>
    </row>
    <row r="37" spans="1:2" x14ac:dyDescent="0.25">
      <c r="A37" s="2" t="s">
        <v>12</v>
      </c>
      <c r="B37" s="2"/>
    </row>
    <row r="38" spans="1:2" x14ac:dyDescent="0.25">
      <c r="A38" s="2" t="s">
        <v>30</v>
      </c>
      <c r="B38" s="2">
        <v>0.90700000000000003</v>
      </c>
    </row>
    <row r="39" spans="1:2" x14ac:dyDescent="0.25">
      <c r="A39" s="2" t="s">
        <v>31</v>
      </c>
      <c r="B39" s="2">
        <v>0.91400000000000003</v>
      </c>
    </row>
    <row r="40" spans="1:2" x14ac:dyDescent="0.25">
      <c r="A40" s="2" t="s">
        <v>13</v>
      </c>
      <c r="B40" s="2"/>
    </row>
    <row r="41" spans="1:2" x14ac:dyDescent="0.25">
      <c r="A41" s="2" t="s">
        <v>30</v>
      </c>
      <c r="B41" s="2">
        <v>0.81100000000000005</v>
      </c>
    </row>
    <row r="42" spans="1:2" x14ac:dyDescent="0.25">
      <c r="A42" s="2" t="s">
        <v>31</v>
      </c>
      <c r="B42" s="2">
        <v>0.81499999999999995</v>
      </c>
    </row>
    <row r="43" spans="1:2" x14ac:dyDescent="0.25">
      <c r="A43" s="2" t="s">
        <v>14</v>
      </c>
      <c r="B43" s="2"/>
    </row>
    <row r="44" spans="1:2" x14ac:dyDescent="0.25">
      <c r="A44" s="2" t="s">
        <v>30</v>
      </c>
      <c r="B44" s="2">
        <v>0.749</v>
      </c>
    </row>
    <row r="45" spans="1:2" x14ac:dyDescent="0.25">
      <c r="A45" s="2" t="s">
        <v>31</v>
      </c>
      <c r="B45" s="2">
        <v>0.75900000000000001</v>
      </c>
    </row>
    <row r="46" spans="1:2" x14ac:dyDescent="0.25">
      <c r="A46" s="2" t="s">
        <v>15</v>
      </c>
      <c r="B46" s="2"/>
    </row>
    <row r="47" spans="1:2" x14ac:dyDescent="0.25">
      <c r="A47" s="2" t="s">
        <v>30</v>
      </c>
      <c r="B47" s="2">
        <v>0.85199999999999998</v>
      </c>
    </row>
    <row r="48" spans="1:2" x14ac:dyDescent="0.25">
      <c r="A48" s="2" t="s">
        <v>31</v>
      </c>
      <c r="B48" s="2">
        <v>0.86199999999999999</v>
      </c>
    </row>
    <row r="49" spans="1:2" x14ac:dyDescent="0.25">
      <c r="A49" s="2" t="s">
        <v>16</v>
      </c>
      <c r="B49" s="2"/>
    </row>
    <row r="50" spans="1:2" x14ac:dyDescent="0.25">
      <c r="A50" s="2" t="s">
        <v>30</v>
      </c>
      <c r="B50" s="2">
        <v>0.85299999999999998</v>
      </c>
    </row>
    <row r="51" spans="1:2" x14ac:dyDescent="0.25">
      <c r="A51" s="2" t="s">
        <v>31</v>
      </c>
      <c r="B51" s="2">
        <v>0.86699999999999999</v>
      </c>
    </row>
    <row r="52" spans="1:2" x14ac:dyDescent="0.25">
      <c r="A52" s="2" t="s">
        <v>17</v>
      </c>
      <c r="B52" s="2"/>
    </row>
    <row r="53" spans="1:2" x14ac:dyDescent="0.25">
      <c r="A53" s="2" t="s">
        <v>30</v>
      </c>
      <c r="B53" s="2">
        <v>0.80200000000000005</v>
      </c>
    </row>
    <row r="54" spans="1:2" x14ac:dyDescent="0.25">
      <c r="A54" s="2" t="s">
        <v>31</v>
      </c>
      <c r="B54" s="2">
        <v>0.81200000000000006</v>
      </c>
    </row>
    <row r="55" spans="1:2" x14ac:dyDescent="0.25">
      <c r="A55" s="2" t="s">
        <v>18</v>
      </c>
      <c r="B55" s="2"/>
    </row>
    <row r="56" spans="1:2" x14ac:dyDescent="0.25">
      <c r="A56" s="2" t="s">
        <v>30</v>
      </c>
      <c r="B56" s="2">
        <v>0.88200000000000001</v>
      </c>
    </row>
    <row r="57" spans="1:2" x14ac:dyDescent="0.25">
      <c r="A57" s="2" t="s">
        <v>31</v>
      </c>
      <c r="B57" s="2">
        <v>0.89700000000000002</v>
      </c>
    </row>
    <row r="58" spans="1:2" x14ac:dyDescent="0.25">
      <c r="A58" s="2" t="s">
        <v>19</v>
      </c>
      <c r="B58" s="2"/>
    </row>
    <row r="59" spans="1:2" x14ac:dyDescent="0.25">
      <c r="A59" s="2" t="s">
        <v>30</v>
      </c>
      <c r="B59" s="2">
        <v>0.77400000000000002</v>
      </c>
    </row>
    <row r="60" spans="1:2" x14ac:dyDescent="0.25">
      <c r="A60" s="2" t="s">
        <v>31</v>
      </c>
      <c r="B60" s="2">
        <v>0.78600000000000003</v>
      </c>
    </row>
    <row r="61" spans="1:2" x14ac:dyDescent="0.25">
      <c r="A61" s="2" t="s">
        <v>20</v>
      </c>
      <c r="B61" s="2"/>
    </row>
    <row r="62" spans="1:2" x14ac:dyDescent="0.25">
      <c r="A62" s="2" t="s">
        <v>30</v>
      </c>
      <c r="B62" s="2">
        <v>0.81200000000000006</v>
      </c>
    </row>
    <row r="63" spans="1:2" x14ac:dyDescent="0.25">
      <c r="A63" s="2" t="s">
        <v>31</v>
      </c>
      <c r="B63" s="2">
        <v>0.86699999999999999</v>
      </c>
    </row>
    <row r="64" spans="1:2" x14ac:dyDescent="0.25">
      <c r="A64" s="2" t="s">
        <v>21</v>
      </c>
      <c r="B64" s="2"/>
    </row>
    <row r="65" spans="1:2" x14ac:dyDescent="0.25">
      <c r="A65" s="2" t="s">
        <v>30</v>
      </c>
      <c r="B65" s="2">
        <v>0.86499999999999999</v>
      </c>
    </row>
    <row r="66" spans="1:2" x14ac:dyDescent="0.25">
      <c r="A66" s="2" t="s">
        <v>31</v>
      </c>
      <c r="B66" s="2">
        <v>0.88</v>
      </c>
    </row>
    <row r="67" spans="1:2" x14ac:dyDescent="0.25">
      <c r="A67" s="2" t="s">
        <v>22</v>
      </c>
      <c r="B67" s="2"/>
    </row>
    <row r="68" spans="1:2" x14ac:dyDescent="0.25">
      <c r="A68" s="2" t="s">
        <v>30</v>
      </c>
      <c r="B68" s="2">
        <v>0.90300000000000002</v>
      </c>
    </row>
    <row r="69" spans="1:2" x14ac:dyDescent="0.25">
      <c r="A69" s="2" t="s">
        <v>31</v>
      </c>
      <c r="B69" s="2">
        <v>0.91300000000000003</v>
      </c>
    </row>
    <row r="70" spans="1:2" x14ac:dyDescent="0.25">
      <c r="A70" s="2" t="s">
        <v>23</v>
      </c>
      <c r="B70" s="2"/>
    </row>
    <row r="71" spans="1:2" x14ac:dyDescent="0.25">
      <c r="A71" s="2" t="s">
        <v>30</v>
      </c>
      <c r="B71" s="2">
        <v>0.83699999999999997</v>
      </c>
    </row>
    <row r="72" spans="1:2" x14ac:dyDescent="0.25">
      <c r="A72" s="2" t="s">
        <v>31</v>
      </c>
      <c r="B72" s="2">
        <v>0.85299999999999998</v>
      </c>
    </row>
    <row r="73" spans="1:2" x14ac:dyDescent="0.25">
      <c r="A73" s="2" t="s">
        <v>24</v>
      </c>
      <c r="B73" s="2"/>
    </row>
    <row r="74" spans="1:2" x14ac:dyDescent="0.25">
      <c r="A74" s="2" t="s">
        <v>30</v>
      </c>
      <c r="B74" s="2">
        <v>0.77500000000000002</v>
      </c>
    </row>
    <row r="75" spans="1:2" x14ac:dyDescent="0.25">
      <c r="A75" s="2" t="s">
        <v>31</v>
      </c>
      <c r="B75" s="2">
        <v>0.78700000000000003</v>
      </c>
    </row>
    <row r="76" spans="1:2" x14ac:dyDescent="0.25">
      <c r="A76" s="2" t="s">
        <v>25</v>
      </c>
      <c r="B76" s="2"/>
    </row>
    <row r="77" spans="1:2" x14ac:dyDescent="0.25">
      <c r="A77" s="2" t="s">
        <v>30</v>
      </c>
      <c r="B77" s="2">
        <v>0.82699999999999996</v>
      </c>
    </row>
    <row r="78" spans="1:2" x14ac:dyDescent="0.25">
      <c r="A78" s="2" t="s">
        <v>31</v>
      </c>
      <c r="B78" s="2">
        <v>0.83899999999999997</v>
      </c>
    </row>
    <row r="79" spans="1:2" x14ac:dyDescent="0.25">
      <c r="A79" s="2" t="s">
        <v>26</v>
      </c>
      <c r="B79" s="2"/>
    </row>
    <row r="80" spans="1:2" x14ac:dyDescent="0.25">
      <c r="A80" s="2" t="s">
        <v>30</v>
      </c>
      <c r="B80" s="2">
        <v>0.79500000000000004</v>
      </c>
    </row>
    <row r="81" spans="1:2" x14ac:dyDescent="0.25">
      <c r="A81" s="2" t="s">
        <v>31</v>
      </c>
      <c r="B81" s="2">
        <v>0.80400000000000005</v>
      </c>
    </row>
    <row r="82" spans="1:2" x14ac:dyDescent="0.25">
      <c r="A82" s="2" t="s">
        <v>27</v>
      </c>
      <c r="B82" s="2"/>
    </row>
    <row r="83" spans="1:2" x14ac:dyDescent="0.25">
      <c r="A83" s="2" t="s">
        <v>30</v>
      </c>
      <c r="B83" s="2">
        <v>0.91200000000000003</v>
      </c>
    </row>
    <row r="84" spans="1:2" x14ac:dyDescent="0.25">
      <c r="A84" s="2" t="s">
        <v>31</v>
      </c>
      <c r="B84" s="2">
        <v>0.92200000000000004</v>
      </c>
    </row>
    <row r="85" spans="1:2" x14ac:dyDescent="0.25">
      <c r="A85" s="2" t="s">
        <v>28</v>
      </c>
      <c r="B85" s="2"/>
    </row>
    <row r="86" spans="1:2" x14ac:dyDescent="0.25">
      <c r="A86" s="2" t="s">
        <v>30</v>
      </c>
      <c r="B86" s="2">
        <v>0.82799999999999996</v>
      </c>
    </row>
    <row r="87" spans="1:2" x14ac:dyDescent="0.25">
      <c r="A87" s="2" t="s">
        <v>31</v>
      </c>
      <c r="B87" s="2">
        <v>0.84199999999999997</v>
      </c>
    </row>
    <row r="88" spans="1:2" x14ac:dyDescent="0.25">
      <c r="A88" s="2" t="s">
        <v>29</v>
      </c>
      <c r="B88" s="2"/>
    </row>
    <row r="89" spans="1:2" x14ac:dyDescent="0.25">
      <c r="A89" s="2" t="s">
        <v>30</v>
      </c>
      <c r="B89" s="2">
        <v>0.88100000000000001</v>
      </c>
    </row>
    <row r="90" spans="1:2" x14ac:dyDescent="0.25">
      <c r="A90" s="2" t="s">
        <v>31</v>
      </c>
      <c r="B90" s="2">
        <v>0.91600000000000004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F2363-AE56-48CB-BBB4-1C65D93C2E36}">
  <sheetPr codeName="Sayfa4"/>
  <dimension ref="A1:J84"/>
  <sheetViews>
    <sheetView workbookViewId="0">
      <selection activeCell="G1" sqref="G1:J4"/>
    </sheetView>
  </sheetViews>
  <sheetFormatPr defaultRowHeight="15" x14ac:dyDescent="0.25"/>
  <cols>
    <col min="1" max="1" width="36.85546875" bestFit="1" customWidth="1"/>
    <col min="4" max="4" width="15.42578125" bestFit="1" customWidth="1"/>
    <col min="5" max="5" width="13.42578125" customWidth="1"/>
    <col min="7" max="7" width="19.42578125" bestFit="1" customWidth="1"/>
  </cols>
  <sheetData>
    <row r="1" spans="1:10" x14ac:dyDescent="0.25">
      <c r="A1" s="2" t="s">
        <v>32</v>
      </c>
      <c r="B1" s="2"/>
      <c r="D1" s="3" t="s">
        <v>101</v>
      </c>
      <c r="E1" s="2">
        <f>AVERAGE(B:B)</f>
        <v>0.74123214285714312</v>
      </c>
      <c r="G1" s="2"/>
      <c r="H1" s="2"/>
      <c r="I1" s="2"/>
      <c r="J1" s="2"/>
    </row>
    <row r="2" spans="1:10" x14ac:dyDescent="0.25">
      <c r="A2" s="2" t="s">
        <v>30</v>
      </c>
      <c r="B2" s="2">
        <v>0.65300000000000002</v>
      </c>
      <c r="D2" s="3" t="s">
        <v>102</v>
      </c>
      <c r="E2" s="2">
        <f>MIN(B:B)</f>
        <v>0.63300000000000001</v>
      </c>
      <c r="G2" s="2"/>
      <c r="H2" s="3" t="s">
        <v>105</v>
      </c>
      <c r="I2" s="3" t="s">
        <v>106</v>
      </c>
      <c r="J2" s="3" t="s">
        <v>107</v>
      </c>
    </row>
    <row r="3" spans="1:10" x14ac:dyDescent="0.25">
      <c r="A3" s="2" t="s">
        <v>31</v>
      </c>
      <c r="B3" s="2">
        <v>0.66100000000000003</v>
      </c>
      <c r="D3" s="3" t="s">
        <v>103</v>
      </c>
      <c r="E3" s="2">
        <f>MAX(B:B)</f>
        <v>0.89600000000000002</v>
      </c>
      <c r="G3" s="2" t="s">
        <v>30</v>
      </c>
      <c r="H3" s="2">
        <f ca="1">SUMIF($A:$B,G3,$B:$B)</f>
        <v>20.478999999999996</v>
      </c>
      <c r="I3" s="2">
        <f>COUNTIF($A:$A,G3)</f>
        <v>28</v>
      </c>
      <c r="J3" s="2">
        <f ca="1">H3/I3</f>
        <v>0.73139285714285696</v>
      </c>
    </row>
    <row r="4" spans="1:10" x14ac:dyDescent="0.25">
      <c r="A4" s="2" t="s">
        <v>33</v>
      </c>
      <c r="B4" s="2"/>
      <c r="D4" s="3" t="s">
        <v>104</v>
      </c>
      <c r="E4" s="2">
        <f>_xlfn.STDEV.P(B:B)</f>
        <v>4.8893832167049366E-2</v>
      </c>
      <c r="G4" s="2" t="s">
        <v>31</v>
      </c>
      <c r="H4" s="2">
        <f ca="1">SUMIF($A:$B,G4,$B:$B)</f>
        <v>21.029999999999998</v>
      </c>
      <c r="I4" s="2">
        <f>COUNTIF($A:$A,G4)</f>
        <v>28</v>
      </c>
      <c r="J4" s="2">
        <f ca="1">H4/I4</f>
        <v>0.7510714285714285</v>
      </c>
    </row>
    <row r="5" spans="1:10" x14ac:dyDescent="0.25">
      <c r="A5" s="2" t="s">
        <v>30</v>
      </c>
      <c r="B5" s="2">
        <v>0.76100000000000001</v>
      </c>
    </row>
    <row r="6" spans="1:10" x14ac:dyDescent="0.25">
      <c r="A6" s="2" t="s">
        <v>31</v>
      </c>
      <c r="B6" s="2">
        <v>0.77</v>
      </c>
    </row>
    <row r="7" spans="1:10" x14ac:dyDescent="0.25">
      <c r="A7" s="2" t="s">
        <v>34</v>
      </c>
      <c r="B7" s="2"/>
    </row>
    <row r="8" spans="1:10" x14ac:dyDescent="0.25">
      <c r="A8" s="2" t="s">
        <v>30</v>
      </c>
      <c r="B8" s="2">
        <v>0.751</v>
      </c>
    </row>
    <row r="9" spans="1:10" x14ac:dyDescent="0.25">
      <c r="A9" s="2" t="s">
        <v>31</v>
      </c>
      <c r="B9" s="2">
        <v>0.76400000000000001</v>
      </c>
    </row>
    <row r="10" spans="1:10" x14ac:dyDescent="0.25">
      <c r="A10" s="2" t="s">
        <v>35</v>
      </c>
      <c r="B10" s="2"/>
    </row>
    <row r="11" spans="1:10" x14ac:dyDescent="0.25">
      <c r="A11" s="2" t="s">
        <v>30</v>
      </c>
      <c r="B11" s="2">
        <v>0.752</v>
      </c>
    </row>
    <row r="12" spans="1:10" x14ac:dyDescent="0.25">
      <c r="A12" s="2" t="s">
        <v>31</v>
      </c>
      <c r="B12" s="2">
        <v>0.76600000000000001</v>
      </c>
    </row>
    <row r="13" spans="1:10" x14ac:dyDescent="0.25">
      <c r="A13" s="2" t="s">
        <v>36</v>
      </c>
      <c r="B13" s="2"/>
    </row>
    <row r="14" spans="1:10" x14ac:dyDescent="0.25">
      <c r="A14" s="2" t="s">
        <v>30</v>
      </c>
      <c r="B14" s="2">
        <v>0.71899999999999997</v>
      </c>
    </row>
    <row r="15" spans="1:10" x14ac:dyDescent="0.25">
      <c r="A15" s="2" t="s">
        <v>31</v>
      </c>
      <c r="B15" s="2">
        <v>0.73199999999999998</v>
      </c>
    </row>
    <row r="16" spans="1:10" x14ac:dyDescent="0.25">
      <c r="A16" s="2" t="s">
        <v>6</v>
      </c>
      <c r="B16" s="2"/>
    </row>
    <row r="17" spans="1:2" x14ac:dyDescent="0.25">
      <c r="A17" s="2" t="s">
        <v>30</v>
      </c>
      <c r="B17" s="2">
        <v>0.77600000000000002</v>
      </c>
    </row>
    <row r="18" spans="1:2" x14ac:dyDescent="0.25">
      <c r="A18" s="2" t="s">
        <v>31</v>
      </c>
      <c r="B18" s="2">
        <v>0.79100000000000004</v>
      </c>
    </row>
    <row r="19" spans="1:2" x14ac:dyDescent="0.25">
      <c r="A19" s="2" t="s">
        <v>9</v>
      </c>
      <c r="B19" s="2"/>
    </row>
    <row r="20" spans="1:2" x14ac:dyDescent="0.25">
      <c r="A20" s="2" t="s">
        <v>30</v>
      </c>
      <c r="B20" s="2">
        <v>0.71399999999999997</v>
      </c>
    </row>
    <row r="21" spans="1:2" x14ac:dyDescent="0.25">
      <c r="A21" s="2" t="s">
        <v>31</v>
      </c>
      <c r="B21" s="2">
        <v>0.73099999999999998</v>
      </c>
    </row>
    <row r="22" spans="1:2" x14ac:dyDescent="0.25">
      <c r="A22" s="2" t="s">
        <v>37</v>
      </c>
      <c r="B22" s="2"/>
    </row>
    <row r="23" spans="1:2" x14ac:dyDescent="0.25">
      <c r="A23" s="2" t="s">
        <v>30</v>
      </c>
      <c r="B23" s="2">
        <v>0.72799999999999998</v>
      </c>
    </row>
    <row r="24" spans="1:2" x14ac:dyDescent="0.25">
      <c r="A24" s="2" t="s">
        <v>31</v>
      </c>
      <c r="B24" s="2">
        <v>0.75600000000000001</v>
      </c>
    </row>
    <row r="25" spans="1:2" x14ac:dyDescent="0.25">
      <c r="A25" s="2" t="s">
        <v>38</v>
      </c>
      <c r="B25" s="2"/>
    </row>
    <row r="26" spans="1:2" x14ac:dyDescent="0.25">
      <c r="A26" s="2" t="s">
        <v>30</v>
      </c>
      <c r="B26" s="2">
        <v>0.67600000000000005</v>
      </c>
    </row>
    <row r="27" spans="1:2" x14ac:dyDescent="0.25">
      <c r="A27" s="2" t="s">
        <v>31</v>
      </c>
      <c r="B27" s="2">
        <v>0.68200000000000005</v>
      </c>
    </row>
    <row r="28" spans="1:2" x14ac:dyDescent="0.25">
      <c r="A28" s="2" t="s">
        <v>13</v>
      </c>
      <c r="B28" s="2"/>
    </row>
    <row r="29" spans="1:2" x14ac:dyDescent="0.25">
      <c r="A29" s="2" t="s">
        <v>30</v>
      </c>
      <c r="B29" s="2">
        <v>0.76600000000000001</v>
      </c>
    </row>
    <row r="30" spans="1:2" x14ac:dyDescent="0.25">
      <c r="A30" s="2" t="s">
        <v>31</v>
      </c>
      <c r="B30" s="2">
        <v>0.76800000000000002</v>
      </c>
    </row>
    <row r="31" spans="1:2" x14ac:dyDescent="0.25">
      <c r="A31" s="2" t="s">
        <v>39</v>
      </c>
      <c r="B31" s="2"/>
    </row>
    <row r="32" spans="1:2" x14ac:dyDescent="0.25">
      <c r="A32" s="2" t="s">
        <v>30</v>
      </c>
      <c r="B32" s="2">
        <v>0.64200000000000002</v>
      </c>
    </row>
    <row r="33" spans="1:2" x14ac:dyDescent="0.25">
      <c r="A33" s="2" t="s">
        <v>31</v>
      </c>
      <c r="B33" s="2">
        <v>0.66800000000000004</v>
      </c>
    </row>
    <row r="34" spans="1:2" x14ac:dyDescent="0.25">
      <c r="A34" s="2" t="s">
        <v>40</v>
      </c>
      <c r="B34" s="2"/>
    </row>
    <row r="35" spans="1:2" x14ac:dyDescent="0.25">
      <c r="A35" s="2" t="s">
        <v>30</v>
      </c>
      <c r="B35" s="2">
        <v>0.73</v>
      </c>
    </row>
    <row r="36" spans="1:2" x14ac:dyDescent="0.25">
      <c r="A36" s="2" t="s">
        <v>31</v>
      </c>
      <c r="B36" s="2">
        <v>0.745</v>
      </c>
    </row>
    <row r="37" spans="1:2" x14ac:dyDescent="0.25">
      <c r="A37" s="2" t="s">
        <v>41</v>
      </c>
      <c r="B37" s="2"/>
    </row>
    <row r="38" spans="1:2" x14ac:dyDescent="0.25">
      <c r="A38" s="2" t="s">
        <v>30</v>
      </c>
      <c r="B38" s="2">
        <v>0.63300000000000001</v>
      </c>
    </row>
    <row r="39" spans="1:2" x14ac:dyDescent="0.25">
      <c r="A39" s="2" t="s">
        <v>31</v>
      </c>
      <c r="B39" s="2">
        <v>0.73799999999999999</v>
      </c>
    </row>
    <row r="40" spans="1:2" x14ac:dyDescent="0.25">
      <c r="A40" s="2" t="s">
        <v>42</v>
      </c>
      <c r="B40" s="2"/>
    </row>
    <row r="41" spans="1:2" x14ac:dyDescent="0.25">
      <c r="A41" s="2" t="s">
        <v>30</v>
      </c>
      <c r="B41" s="2">
        <v>0.82099999999999995</v>
      </c>
    </row>
    <row r="42" spans="1:2" x14ac:dyDescent="0.25">
      <c r="A42" s="2" t="s">
        <v>31</v>
      </c>
      <c r="B42" s="2">
        <v>0.84699999999999998</v>
      </c>
    </row>
    <row r="43" spans="1:2" x14ac:dyDescent="0.25">
      <c r="A43" s="2" t="s">
        <v>15</v>
      </c>
      <c r="B43" s="2"/>
    </row>
    <row r="44" spans="1:2" x14ac:dyDescent="0.25">
      <c r="A44" s="2" t="s">
        <v>30</v>
      </c>
      <c r="B44" s="2">
        <v>0.69199999999999995</v>
      </c>
    </row>
    <row r="45" spans="1:2" x14ac:dyDescent="0.25">
      <c r="A45" s="2" t="s">
        <v>31</v>
      </c>
      <c r="B45" s="2">
        <v>0.69499999999999995</v>
      </c>
    </row>
    <row r="46" spans="1:2" x14ac:dyDescent="0.25">
      <c r="A46" s="2" t="s">
        <v>43</v>
      </c>
      <c r="B46" s="2"/>
    </row>
    <row r="47" spans="1:2" x14ac:dyDescent="0.25">
      <c r="A47" s="2" t="s">
        <v>30</v>
      </c>
      <c r="B47" s="2">
        <v>0.745</v>
      </c>
    </row>
    <row r="48" spans="1:2" x14ac:dyDescent="0.25">
      <c r="A48" s="2" t="s">
        <v>31</v>
      </c>
      <c r="B48" s="2">
        <v>0.755</v>
      </c>
    </row>
    <row r="49" spans="1:2" x14ac:dyDescent="0.25">
      <c r="A49" s="2" t="s">
        <v>19</v>
      </c>
      <c r="B49" s="2"/>
    </row>
    <row r="50" spans="1:2" x14ac:dyDescent="0.25">
      <c r="A50" s="2" t="s">
        <v>30</v>
      </c>
      <c r="B50" s="2">
        <v>0.78</v>
      </c>
    </row>
    <row r="51" spans="1:2" x14ac:dyDescent="0.25">
      <c r="A51" s="2" t="s">
        <v>31</v>
      </c>
      <c r="B51" s="2">
        <v>0.79100000000000004</v>
      </c>
    </row>
    <row r="52" spans="1:2" x14ac:dyDescent="0.25">
      <c r="A52" s="2" t="s">
        <v>44</v>
      </c>
      <c r="B52" s="2"/>
    </row>
    <row r="53" spans="1:2" x14ac:dyDescent="0.25">
      <c r="A53" s="2" t="s">
        <v>30</v>
      </c>
      <c r="B53" s="2">
        <v>0.72</v>
      </c>
    </row>
    <row r="54" spans="1:2" x14ac:dyDescent="0.25">
      <c r="A54" s="2" t="s">
        <v>31</v>
      </c>
      <c r="B54" s="2">
        <v>0.73499999999999999</v>
      </c>
    </row>
    <row r="55" spans="1:2" x14ac:dyDescent="0.25">
      <c r="A55" s="2" t="s">
        <v>20</v>
      </c>
      <c r="B55" s="2"/>
    </row>
    <row r="56" spans="1:2" x14ac:dyDescent="0.25">
      <c r="A56" s="2" t="s">
        <v>30</v>
      </c>
      <c r="B56" s="2">
        <v>0.69299999999999995</v>
      </c>
    </row>
    <row r="57" spans="1:2" x14ac:dyDescent="0.25">
      <c r="A57" s="2" t="s">
        <v>31</v>
      </c>
      <c r="B57" s="2">
        <v>0.72599999999999998</v>
      </c>
    </row>
    <row r="58" spans="1:2" x14ac:dyDescent="0.25">
      <c r="A58" s="2" t="s">
        <v>45</v>
      </c>
      <c r="B58" s="2"/>
    </row>
    <row r="59" spans="1:2" x14ac:dyDescent="0.25">
      <c r="A59" s="2" t="s">
        <v>30</v>
      </c>
      <c r="B59" s="2">
        <v>0.69299999999999995</v>
      </c>
    </row>
    <row r="60" spans="1:2" x14ac:dyDescent="0.25">
      <c r="A60" s="2" t="s">
        <v>31</v>
      </c>
      <c r="B60" s="2">
        <v>0.71099999999999997</v>
      </c>
    </row>
    <row r="61" spans="1:2" x14ac:dyDescent="0.25">
      <c r="A61" s="2" t="s">
        <v>46</v>
      </c>
      <c r="B61" s="2"/>
    </row>
    <row r="62" spans="1:2" x14ac:dyDescent="0.25">
      <c r="A62" s="2" t="s">
        <v>30</v>
      </c>
      <c r="B62" s="2">
        <v>0.76</v>
      </c>
    </row>
    <row r="63" spans="1:2" x14ac:dyDescent="0.25">
      <c r="A63" s="2" t="s">
        <v>31</v>
      </c>
      <c r="B63" s="2">
        <v>0.77100000000000002</v>
      </c>
    </row>
    <row r="64" spans="1:2" x14ac:dyDescent="0.25">
      <c r="A64" s="2" t="s">
        <v>47</v>
      </c>
      <c r="B64" s="2"/>
    </row>
    <row r="65" spans="1:2" x14ac:dyDescent="0.25">
      <c r="A65" s="2" t="s">
        <v>30</v>
      </c>
      <c r="B65" s="2">
        <v>0.73</v>
      </c>
    </row>
    <row r="66" spans="1:2" x14ac:dyDescent="0.25">
      <c r="A66" s="2" t="s">
        <v>31</v>
      </c>
      <c r="B66" s="2">
        <v>0.76200000000000001</v>
      </c>
    </row>
    <row r="67" spans="1:2" x14ac:dyDescent="0.25">
      <c r="A67" s="2" t="s">
        <v>48</v>
      </c>
      <c r="B67" s="2"/>
    </row>
    <row r="68" spans="1:2" x14ac:dyDescent="0.25">
      <c r="A68" s="2" t="s">
        <v>30</v>
      </c>
      <c r="B68" s="2">
        <v>0.83499999999999996</v>
      </c>
    </row>
    <row r="69" spans="1:2" x14ac:dyDescent="0.25">
      <c r="A69" s="2" t="s">
        <v>31</v>
      </c>
      <c r="B69" s="2">
        <v>0.89600000000000002</v>
      </c>
    </row>
    <row r="70" spans="1:2" x14ac:dyDescent="0.25">
      <c r="A70" s="2" t="s">
        <v>24</v>
      </c>
      <c r="B70" s="2"/>
    </row>
    <row r="71" spans="1:2" x14ac:dyDescent="0.25">
      <c r="A71" s="2" t="s">
        <v>30</v>
      </c>
      <c r="B71" s="2">
        <v>0.78200000000000003</v>
      </c>
    </row>
    <row r="72" spans="1:2" x14ac:dyDescent="0.25">
      <c r="A72" s="2" t="s">
        <v>31</v>
      </c>
      <c r="B72" s="2">
        <v>0.79100000000000004</v>
      </c>
    </row>
    <row r="73" spans="1:2" x14ac:dyDescent="0.25">
      <c r="A73" s="2" t="s">
        <v>49</v>
      </c>
      <c r="B73" s="2"/>
    </row>
    <row r="74" spans="1:2" x14ac:dyDescent="0.25">
      <c r="A74" s="2" t="s">
        <v>30</v>
      </c>
      <c r="B74" s="2">
        <v>0.74099999999999999</v>
      </c>
    </row>
    <row r="75" spans="1:2" x14ac:dyDescent="0.25">
      <c r="A75" s="2" t="s">
        <v>31</v>
      </c>
      <c r="B75" s="2">
        <v>0.75800000000000001</v>
      </c>
    </row>
    <row r="76" spans="1:2" x14ac:dyDescent="0.25">
      <c r="A76" s="2" t="s">
        <v>27</v>
      </c>
      <c r="B76" s="2"/>
    </row>
    <row r="77" spans="1:2" x14ac:dyDescent="0.25">
      <c r="A77" s="2" t="s">
        <v>30</v>
      </c>
      <c r="B77" s="2">
        <v>0.73099999999999998</v>
      </c>
    </row>
    <row r="78" spans="1:2" x14ac:dyDescent="0.25">
      <c r="A78" s="2" t="s">
        <v>31</v>
      </c>
      <c r="B78" s="2">
        <v>0.749</v>
      </c>
    </row>
    <row r="79" spans="1:2" x14ac:dyDescent="0.25">
      <c r="A79" s="2" t="s">
        <v>28</v>
      </c>
      <c r="B79" s="2"/>
    </row>
    <row r="80" spans="1:2" x14ac:dyDescent="0.25">
      <c r="A80" s="2" t="s">
        <v>30</v>
      </c>
      <c r="B80" s="2">
        <v>0.69699999999999995</v>
      </c>
    </row>
    <row r="81" spans="1:2" x14ac:dyDescent="0.25">
      <c r="A81" s="2" t="s">
        <v>31</v>
      </c>
      <c r="B81" s="2">
        <v>0.70899999999999996</v>
      </c>
    </row>
    <row r="82" spans="1:2" x14ac:dyDescent="0.25">
      <c r="A82" s="2" t="s">
        <v>50</v>
      </c>
      <c r="B82" s="2"/>
    </row>
    <row r="83" spans="1:2" x14ac:dyDescent="0.25">
      <c r="A83" s="2" t="s">
        <v>30</v>
      </c>
      <c r="B83" s="2">
        <v>0.75800000000000001</v>
      </c>
    </row>
    <row r="84" spans="1:2" x14ac:dyDescent="0.25">
      <c r="A84" s="2" t="s">
        <v>31</v>
      </c>
      <c r="B84" s="2">
        <v>0.76200000000000001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B24F9-7EDE-431E-9B98-35615AD8ED25}">
  <sheetPr codeName="Sayfa5"/>
  <dimension ref="A1:J114"/>
  <sheetViews>
    <sheetView workbookViewId="0">
      <selection activeCell="A6" sqref="A6"/>
    </sheetView>
  </sheetViews>
  <sheetFormatPr defaultRowHeight="15" x14ac:dyDescent="0.25"/>
  <cols>
    <col min="1" max="1" width="36.85546875" bestFit="1" customWidth="1"/>
    <col min="4" max="4" width="15.42578125" bestFit="1" customWidth="1"/>
    <col min="5" max="5" width="13" customWidth="1"/>
    <col min="7" max="7" width="19.42578125" bestFit="1" customWidth="1"/>
  </cols>
  <sheetData>
    <row r="1" spans="1:10" x14ac:dyDescent="0.25">
      <c r="A1" s="2" t="s">
        <v>32</v>
      </c>
      <c r="B1" s="2"/>
      <c r="D1" s="3" t="s">
        <v>101</v>
      </c>
      <c r="E1" s="2">
        <f>AVERAGE(B:B)</f>
        <v>0.68968421052631579</v>
      </c>
      <c r="G1" s="2"/>
      <c r="H1" s="2"/>
      <c r="I1" s="2"/>
      <c r="J1" s="2"/>
    </row>
    <row r="2" spans="1:10" x14ac:dyDescent="0.25">
      <c r="A2" s="2" t="s">
        <v>30</v>
      </c>
      <c r="B2" s="2">
        <v>0.751</v>
      </c>
      <c r="D2" s="3" t="s">
        <v>102</v>
      </c>
      <c r="E2" s="2">
        <f>MIN(B:B)</f>
        <v>0.61</v>
      </c>
      <c r="G2" s="2"/>
      <c r="H2" s="3" t="s">
        <v>105</v>
      </c>
      <c r="I2" s="3" t="s">
        <v>106</v>
      </c>
      <c r="J2" s="3" t="s">
        <v>107</v>
      </c>
    </row>
    <row r="3" spans="1:10" x14ac:dyDescent="0.25">
      <c r="A3" s="2" t="s">
        <v>31</v>
      </c>
      <c r="B3" s="2">
        <v>0.76100000000000001</v>
      </c>
      <c r="D3" s="3" t="s">
        <v>103</v>
      </c>
      <c r="E3" s="2">
        <f>MAX(B:B)</f>
        <v>0.79900000000000004</v>
      </c>
      <c r="G3" s="2" t="s">
        <v>30</v>
      </c>
      <c r="H3" s="2">
        <f ca="1">SUMIF($A:$B,G3,$B:$B)</f>
        <v>25.913</v>
      </c>
      <c r="I3" s="2">
        <f>COUNTIF($A:$A,G3)</f>
        <v>38</v>
      </c>
      <c r="J3" s="2">
        <f ca="1">H3/I3</f>
        <v>0.68192105263157898</v>
      </c>
    </row>
    <row r="4" spans="1:10" x14ac:dyDescent="0.25">
      <c r="A4" s="2" t="s">
        <v>0</v>
      </c>
      <c r="B4" s="2"/>
      <c r="D4" s="3" t="s">
        <v>104</v>
      </c>
      <c r="E4" s="2">
        <f>_xlfn.STDEV.P(B:B)</f>
        <v>4.2699134259162601E-2</v>
      </c>
      <c r="G4" s="2" t="s">
        <v>31</v>
      </c>
      <c r="H4" s="2">
        <f ca="1">SUMIF($A:$B,G4,$B:$B)</f>
        <v>26.502999999999997</v>
      </c>
      <c r="I4" s="2">
        <f>COUNTIF($A:$A,G4)</f>
        <v>38</v>
      </c>
      <c r="J4" s="2">
        <f ca="1">H4/I4</f>
        <v>0.69744736842105259</v>
      </c>
    </row>
    <row r="5" spans="1:10" x14ac:dyDescent="0.25">
      <c r="A5" s="2" t="s">
        <v>30</v>
      </c>
      <c r="B5" s="2">
        <v>0.69799999999999995</v>
      </c>
    </row>
    <row r="6" spans="1:10" x14ac:dyDescent="0.25">
      <c r="A6" s="2" t="s">
        <v>31</v>
      </c>
      <c r="B6" s="2">
        <v>0.70899999999999996</v>
      </c>
    </row>
    <row r="7" spans="1:10" x14ac:dyDescent="0.25">
      <c r="A7" s="2" t="s">
        <v>1</v>
      </c>
      <c r="B7" s="2"/>
    </row>
    <row r="8" spans="1:10" x14ac:dyDescent="0.25">
      <c r="A8" s="2" t="s">
        <v>30</v>
      </c>
      <c r="B8" s="2">
        <v>0.66800000000000004</v>
      </c>
    </row>
    <row r="9" spans="1:10" x14ac:dyDescent="0.25">
      <c r="A9" s="2" t="s">
        <v>31</v>
      </c>
      <c r="B9" s="2">
        <v>0.68400000000000005</v>
      </c>
    </row>
    <row r="10" spans="1:10" x14ac:dyDescent="0.25">
      <c r="A10" s="2" t="s">
        <v>34</v>
      </c>
      <c r="B10" s="2"/>
    </row>
    <row r="11" spans="1:10" x14ac:dyDescent="0.25">
      <c r="A11" s="2" t="s">
        <v>30</v>
      </c>
      <c r="B11" s="2">
        <v>0.69499999999999995</v>
      </c>
    </row>
    <row r="12" spans="1:10" x14ac:dyDescent="0.25">
      <c r="A12" s="2" t="s">
        <v>31</v>
      </c>
      <c r="B12" s="2">
        <v>0.70299999999999996</v>
      </c>
    </row>
    <row r="13" spans="1:10" x14ac:dyDescent="0.25">
      <c r="A13" s="2" t="s">
        <v>35</v>
      </c>
      <c r="B13" s="2"/>
    </row>
    <row r="14" spans="1:10" x14ac:dyDescent="0.25">
      <c r="A14" s="2" t="s">
        <v>30</v>
      </c>
      <c r="B14" s="2">
        <v>0.64300000000000002</v>
      </c>
    </row>
    <row r="15" spans="1:10" x14ac:dyDescent="0.25">
      <c r="A15" s="2" t="s">
        <v>31</v>
      </c>
      <c r="B15" s="2">
        <v>0.65300000000000002</v>
      </c>
    </row>
    <row r="16" spans="1:10" x14ac:dyDescent="0.25">
      <c r="A16" s="2" t="s">
        <v>36</v>
      </c>
      <c r="B16" s="2"/>
    </row>
    <row r="17" spans="1:2" x14ac:dyDescent="0.25">
      <c r="A17" s="2" t="s">
        <v>30</v>
      </c>
      <c r="B17" s="2">
        <v>0.73299999999999998</v>
      </c>
    </row>
    <row r="18" spans="1:2" x14ac:dyDescent="0.25">
      <c r="A18" s="2" t="s">
        <v>31</v>
      </c>
      <c r="B18" s="2">
        <v>0.75600000000000001</v>
      </c>
    </row>
    <row r="19" spans="1:2" x14ac:dyDescent="0.25">
      <c r="A19" s="2" t="s">
        <v>51</v>
      </c>
      <c r="B19" s="2"/>
    </row>
    <row r="20" spans="1:2" x14ac:dyDescent="0.25">
      <c r="A20" s="2" t="s">
        <v>30</v>
      </c>
      <c r="B20" s="2">
        <v>0.67300000000000004</v>
      </c>
    </row>
    <row r="21" spans="1:2" x14ac:dyDescent="0.25">
      <c r="A21" s="2" t="s">
        <v>31</v>
      </c>
      <c r="B21" s="2">
        <v>0.67900000000000005</v>
      </c>
    </row>
    <row r="22" spans="1:2" x14ac:dyDescent="0.25">
      <c r="A22" s="2" t="s">
        <v>7</v>
      </c>
      <c r="B22" s="2"/>
    </row>
    <row r="23" spans="1:2" x14ac:dyDescent="0.25">
      <c r="A23" s="2" t="s">
        <v>30</v>
      </c>
      <c r="B23" s="2">
        <v>0.69799999999999995</v>
      </c>
    </row>
    <row r="24" spans="1:2" x14ac:dyDescent="0.25">
      <c r="A24" s="2" t="s">
        <v>31</v>
      </c>
      <c r="B24" s="2">
        <v>0.71199999999999997</v>
      </c>
    </row>
    <row r="25" spans="1:2" x14ac:dyDescent="0.25">
      <c r="A25" s="2" t="s">
        <v>9</v>
      </c>
      <c r="B25" s="2"/>
    </row>
    <row r="26" spans="1:2" x14ac:dyDescent="0.25">
      <c r="A26" s="2" t="s">
        <v>30</v>
      </c>
      <c r="B26" s="2">
        <v>0.64700000000000002</v>
      </c>
    </row>
    <row r="27" spans="1:2" x14ac:dyDescent="0.25">
      <c r="A27" s="2" t="s">
        <v>31</v>
      </c>
      <c r="B27" s="2">
        <v>0.67100000000000004</v>
      </c>
    </row>
    <row r="28" spans="1:2" x14ac:dyDescent="0.25">
      <c r="A28" s="2" t="s">
        <v>52</v>
      </c>
      <c r="B28" s="2"/>
    </row>
    <row r="29" spans="1:2" x14ac:dyDescent="0.25">
      <c r="A29" s="2" t="s">
        <v>30</v>
      </c>
      <c r="B29" s="2">
        <v>0.68799999999999994</v>
      </c>
    </row>
    <row r="30" spans="1:2" x14ac:dyDescent="0.25">
      <c r="A30" s="2" t="s">
        <v>31</v>
      </c>
      <c r="B30" s="2">
        <v>0.69599999999999995</v>
      </c>
    </row>
    <row r="31" spans="1:2" x14ac:dyDescent="0.25">
      <c r="A31" s="2" t="s">
        <v>10</v>
      </c>
      <c r="B31" s="2"/>
    </row>
    <row r="32" spans="1:2" x14ac:dyDescent="0.25">
      <c r="A32" s="2" t="s">
        <v>30</v>
      </c>
      <c r="B32" s="2">
        <v>0.70399999999999996</v>
      </c>
    </row>
    <row r="33" spans="1:2" x14ac:dyDescent="0.25">
      <c r="A33" s="2" t="s">
        <v>31</v>
      </c>
      <c r="B33" s="2">
        <v>0.72499999999999998</v>
      </c>
    </row>
    <row r="34" spans="1:2" x14ac:dyDescent="0.25">
      <c r="A34" s="2" t="s">
        <v>53</v>
      </c>
      <c r="B34" s="2"/>
    </row>
    <row r="35" spans="1:2" x14ac:dyDescent="0.25">
      <c r="A35" s="2" t="s">
        <v>30</v>
      </c>
      <c r="B35" s="2">
        <v>0.66</v>
      </c>
    </row>
    <row r="36" spans="1:2" x14ac:dyDescent="0.25">
      <c r="A36" s="2" t="s">
        <v>31</v>
      </c>
      <c r="B36" s="2">
        <v>0.67500000000000004</v>
      </c>
    </row>
    <row r="37" spans="1:2" x14ac:dyDescent="0.25">
      <c r="A37" s="2" t="s">
        <v>12</v>
      </c>
      <c r="B37" s="2"/>
    </row>
    <row r="38" spans="1:2" x14ac:dyDescent="0.25">
      <c r="A38" s="2" t="s">
        <v>30</v>
      </c>
      <c r="B38" s="2">
        <v>0.73</v>
      </c>
    </row>
    <row r="39" spans="1:2" x14ac:dyDescent="0.25">
      <c r="A39" s="2" t="s">
        <v>31</v>
      </c>
      <c r="B39" s="2">
        <v>0.74399999999999999</v>
      </c>
    </row>
    <row r="40" spans="1:2" x14ac:dyDescent="0.25">
      <c r="A40" s="2" t="s">
        <v>13</v>
      </c>
      <c r="B40" s="2"/>
    </row>
    <row r="41" spans="1:2" x14ac:dyDescent="0.25">
      <c r="A41" s="2" t="s">
        <v>30</v>
      </c>
      <c r="B41" s="2">
        <v>0.69799999999999995</v>
      </c>
    </row>
    <row r="42" spans="1:2" x14ac:dyDescent="0.25">
      <c r="A42" s="2" t="s">
        <v>31</v>
      </c>
      <c r="B42" s="2">
        <v>0.70599999999999996</v>
      </c>
    </row>
    <row r="43" spans="1:2" x14ac:dyDescent="0.25">
      <c r="A43" s="2" t="s">
        <v>54</v>
      </c>
      <c r="B43" s="2"/>
    </row>
    <row r="44" spans="1:2" x14ac:dyDescent="0.25">
      <c r="A44" s="2" t="s">
        <v>30</v>
      </c>
      <c r="B44" s="2">
        <v>0.67700000000000005</v>
      </c>
    </row>
    <row r="45" spans="1:2" x14ac:dyDescent="0.25">
      <c r="A45" s="2" t="s">
        <v>31</v>
      </c>
      <c r="B45" s="2">
        <v>0.69299999999999995</v>
      </c>
    </row>
    <row r="46" spans="1:2" x14ac:dyDescent="0.25">
      <c r="A46" s="2" t="s">
        <v>55</v>
      </c>
      <c r="B46" s="2"/>
    </row>
    <row r="47" spans="1:2" x14ac:dyDescent="0.25">
      <c r="A47" s="2" t="s">
        <v>30</v>
      </c>
      <c r="B47" s="2">
        <v>0.63200000000000001</v>
      </c>
    </row>
    <row r="48" spans="1:2" x14ac:dyDescent="0.25">
      <c r="A48" s="2" t="s">
        <v>31</v>
      </c>
      <c r="B48" s="2">
        <v>0.64800000000000002</v>
      </c>
    </row>
    <row r="49" spans="1:2" x14ac:dyDescent="0.25">
      <c r="A49" s="2" t="s">
        <v>56</v>
      </c>
      <c r="B49" s="2"/>
    </row>
    <row r="50" spans="1:2" x14ac:dyDescent="0.25">
      <c r="A50" s="2" t="s">
        <v>30</v>
      </c>
      <c r="B50" s="2">
        <v>0.69599999999999995</v>
      </c>
    </row>
    <row r="51" spans="1:2" x14ac:dyDescent="0.25">
      <c r="A51" s="2" t="s">
        <v>31</v>
      </c>
      <c r="B51" s="2">
        <v>0.69899999999999995</v>
      </c>
    </row>
    <row r="52" spans="1:2" x14ac:dyDescent="0.25">
      <c r="A52" s="2" t="s">
        <v>14</v>
      </c>
      <c r="B52" s="2"/>
    </row>
    <row r="53" spans="1:2" x14ac:dyDescent="0.25">
      <c r="A53" s="2" t="s">
        <v>30</v>
      </c>
      <c r="B53" s="2">
        <v>0.73</v>
      </c>
    </row>
    <row r="54" spans="1:2" x14ac:dyDescent="0.25">
      <c r="A54" s="2" t="s">
        <v>31</v>
      </c>
      <c r="B54" s="2">
        <v>0.74</v>
      </c>
    </row>
    <row r="55" spans="1:2" x14ac:dyDescent="0.25">
      <c r="A55" s="2" t="s">
        <v>42</v>
      </c>
      <c r="B55" s="2"/>
    </row>
    <row r="56" spans="1:2" x14ac:dyDescent="0.25">
      <c r="A56" s="2" t="s">
        <v>30</v>
      </c>
      <c r="B56" s="2">
        <v>0.63900000000000001</v>
      </c>
    </row>
    <row r="57" spans="1:2" x14ac:dyDescent="0.25">
      <c r="A57" s="2" t="s">
        <v>31</v>
      </c>
      <c r="B57" s="2">
        <v>0.66300000000000003</v>
      </c>
    </row>
    <row r="58" spans="1:2" x14ac:dyDescent="0.25">
      <c r="A58" s="2" t="s">
        <v>43</v>
      </c>
      <c r="B58" s="2"/>
    </row>
    <row r="59" spans="1:2" x14ac:dyDescent="0.25">
      <c r="A59" s="2" t="s">
        <v>30</v>
      </c>
      <c r="B59" s="2">
        <v>0.64500000000000002</v>
      </c>
    </row>
    <row r="60" spans="1:2" x14ac:dyDescent="0.25">
      <c r="A60" s="2" t="s">
        <v>31</v>
      </c>
      <c r="B60" s="2">
        <v>0.66500000000000004</v>
      </c>
    </row>
    <row r="61" spans="1:2" x14ac:dyDescent="0.25">
      <c r="A61" s="2" t="s">
        <v>18</v>
      </c>
      <c r="B61" s="2"/>
    </row>
    <row r="62" spans="1:2" x14ac:dyDescent="0.25">
      <c r="A62" s="2" t="s">
        <v>30</v>
      </c>
      <c r="B62" s="2">
        <v>0.78700000000000003</v>
      </c>
    </row>
    <row r="63" spans="1:2" x14ac:dyDescent="0.25">
      <c r="A63" s="2" t="s">
        <v>31</v>
      </c>
      <c r="B63" s="2">
        <v>0.79900000000000004</v>
      </c>
    </row>
    <row r="64" spans="1:2" x14ac:dyDescent="0.25">
      <c r="A64" s="2" t="s">
        <v>57</v>
      </c>
      <c r="B64" s="2"/>
    </row>
    <row r="65" spans="1:2" x14ac:dyDescent="0.25">
      <c r="A65" s="2" t="s">
        <v>30</v>
      </c>
      <c r="B65" s="2">
        <v>0.67300000000000004</v>
      </c>
    </row>
    <row r="66" spans="1:2" x14ac:dyDescent="0.25">
      <c r="A66" s="2" t="s">
        <v>31</v>
      </c>
      <c r="B66" s="2">
        <v>0.69</v>
      </c>
    </row>
    <row r="67" spans="1:2" x14ac:dyDescent="0.25">
      <c r="A67" s="2" t="s">
        <v>44</v>
      </c>
      <c r="B67" s="2"/>
    </row>
    <row r="68" spans="1:2" x14ac:dyDescent="0.25">
      <c r="A68" s="2" t="s">
        <v>30</v>
      </c>
      <c r="B68" s="2">
        <v>0.65300000000000002</v>
      </c>
    </row>
    <row r="69" spans="1:2" x14ac:dyDescent="0.25">
      <c r="A69" s="2" t="s">
        <v>31</v>
      </c>
      <c r="B69" s="2">
        <v>0.66100000000000003</v>
      </c>
    </row>
    <row r="70" spans="1:2" x14ac:dyDescent="0.25">
      <c r="A70" s="2" t="s">
        <v>45</v>
      </c>
      <c r="B70" s="2"/>
    </row>
    <row r="71" spans="1:2" x14ac:dyDescent="0.25">
      <c r="A71" s="2" t="s">
        <v>30</v>
      </c>
      <c r="B71" s="2">
        <v>0.64700000000000002</v>
      </c>
    </row>
    <row r="72" spans="1:2" x14ac:dyDescent="0.25">
      <c r="A72" s="2" t="s">
        <v>31</v>
      </c>
      <c r="B72" s="2">
        <v>0.66</v>
      </c>
    </row>
    <row r="73" spans="1:2" x14ac:dyDescent="0.25">
      <c r="A73" s="2" t="s">
        <v>46</v>
      </c>
      <c r="B73" s="2"/>
    </row>
    <row r="74" spans="1:2" x14ac:dyDescent="0.25">
      <c r="A74" s="2" t="s">
        <v>30</v>
      </c>
      <c r="B74" s="2">
        <v>0.62</v>
      </c>
    </row>
    <row r="75" spans="1:2" x14ac:dyDescent="0.25">
      <c r="A75" s="2" t="s">
        <v>31</v>
      </c>
      <c r="B75" s="2">
        <v>0.64</v>
      </c>
    </row>
    <row r="76" spans="1:2" x14ac:dyDescent="0.25">
      <c r="A76" s="2" t="s">
        <v>58</v>
      </c>
      <c r="B76" s="2"/>
    </row>
    <row r="77" spans="1:2" x14ac:dyDescent="0.25">
      <c r="A77" s="2" t="s">
        <v>30</v>
      </c>
      <c r="B77" s="2">
        <v>0.68400000000000005</v>
      </c>
    </row>
    <row r="78" spans="1:2" x14ac:dyDescent="0.25">
      <c r="A78" s="2" t="s">
        <v>31</v>
      </c>
      <c r="B78" s="2">
        <v>0.69199999999999995</v>
      </c>
    </row>
    <row r="79" spans="1:2" x14ac:dyDescent="0.25">
      <c r="A79" s="2" t="s">
        <v>59</v>
      </c>
      <c r="B79" s="2"/>
    </row>
    <row r="80" spans="1:2" x14ac:dyDescent="0.25">
      <c r="A80" s="2" t="s">
        <v>30</v>
      </c>
      <c r="B80" s="2">
        <v>0.64800000000000002</v>
      </c>
    </row>
    <row r="81" spans="1:2" x14ac:dyDescent="0.25">
      <c r="A81" s="2" t="s">
        <v>31</v>
      </c>
      <c r="B81" s="2">
        <v>0.66900000000000004</v>
      </c>
    </row>
    <row r="82" spans="1:2" x14ac:dyDescent="0.25">
      <c r="A82" s="2" t="s">
        <v>60</v>
      </c>
      <c r="B82" s="2"/>
    </row>
    <row r="83" spans="1:2" x14ac:dyDescent="0.25">
      <c r="A83" s="2" t="s">
        <v>30</v>
      </c>
      <c r="B83" s="2">
        <v>0.74</v>
      </c>
    </row>
    <row r="84" spans="1:2" x14ac:dyDescent="0.25">
      <c r="A84" s="2" t="s">
        <v>31</v>
      </c>
      <c r="B84" s="2">
        <v>0.76500000000000001</v>
      </c>
    </row>
    <row r="85" spans="1:2" x14ac:dyDescent="0.25">
      <c r="A85" s="2" t="s">
        <v>47</v>
      </c>
      <c r="B85" s="2"/>
    </row>
    <row r="86" spans="1:2" x14ac:dyDescent="0.25">
      <c r="A86" s="2" t="s">
        <v>30</v>
      </c>
      <c r="B86" s="2">
        <v>0.65800000000000003</v>
      </c>
    </row>
    <row r="87" spans="1:2" x14ac:dyDescent="0.25">
      <c r="A87" s="2" t="s">
        <v>31</v>
      </c>
      <c r="B87" s="2">
        <v>0.68799999999999994</v>
      </c>
    </row>
    <row r="88" spans="1:2" x14ac:dyDescent="0.25">
      <c r="A88" s="2" t="s">
        <v>22</v>
      </c>
      <c r="B88" s="2"/>
    </row>
    <row r="89" spans="1:2" x14ac:dyDescent="0.25">
      <c r="A89" s="2" t="s">
        <v>30</v>
      </c>
      <c r="B89" s="2">
        <v>0.64600000000000002</v>
      </c>
    </row>
    <row r="90" spans="1:2" x14ac:dyDescent="0.25">
      <c r="A90" s="2" t="s">
        <v>31</v>
      </c>
      <c r="B90" s="2">
        <v>0.64700000000000002</v>
      </c>
    </row>
    <row r="91" spans="1:2" x14ac:dyDescent="0.25">
      <c r="A91" s="2" t="s">
        <v>23</v>
      </c>
      <c r="B91" s="2"/>
    </row>
    <row r="92" spans="1:2" x14ac:dyDescent="0.25">
      <c r="A92" s="2" t="s">
        <v>30</v>
      </c>
      <c r="B92" s="2">
        <v>0.72199999999999998</v>
      </c>
    </row>
    <row r="93" spans="1:2" x14ac:dyDescent="0.25">
      <c r="A93" s="2" t="s">
        <v>31</v>
      </c>
      <c r="B93" s="2">
        <v>0.73599999999999999</v>
      </c>
    </row>
    <row r="94" spans="1:2" x14ac:dyDescent="0.25">
      <c r="A94" s="2" t="s">
        <v>48</v>
      </c>
      <c r="B94" s="2"/>
    </row>
    <row r="95" spans="1:2" x14ac:dyDescent="0.25">
      <c r="A95" s="2" t="s">
        <v>30</v>
      </c>
      <c r="B95" s="2">
        <v>0.73499999999999999</v>
      </c>
    </row>
    <row r="96" spans="1:2" x14ac:dyDescent="0.25">
      <c r="A96" s="2" t="s">
        <v>31</v>
      </c>
      <c r="B96" s="2">
        <v>0.75900000000000001</v>
      </c>
    </row>
    <row r="97" spans="1:2" x14ac:dyDescent="0.25">
      <c r="A97" s="2" t="s">
        <v>61</v>
      </c>
      <c r="B97" s="2"/>
    </row>
    <row r="98" spans="1:2" x14ac:dyDescent="0.25">
      <c r="A98" s="2" t="s">
        <v>30</v>
      </c>
      <c r="B98" s="2">
        <v>0.755</v>
      </c>
    </row>
    <row r="99" spans="1:2" x14ac:dyDescent="0.25">
      <c r="A99" s="2" t="s">
        <v>31</v>
      </c>
      <c r="B99" s="2">
        <v>0.76700000000000002</v>
      </c>
    </row>
    <row r="100" spans="1:2" x14ac:dyDescent="0.25">
      <c r="A100" s="2" t="s">
        <v>49</v>
      </c>
      <c r="B100" s="2"/>
    </row>
    <row r="101" spans="1:2" x14ac:dyDescent="0.25">
      <c r="A101" s="2" t="s">
        <v>30</v>
      </c>
      <c r="B101" s="2">
        <v>0.68899999999999995</v>
      </c>
    </row>
    <row r="102" spans="1:2" x14ac:dyDescent="0.25">
      <c r="A102" s="2" t="s">
        <v>31</v>
      </c>
      <c r="B102" s="2">
        <v>0.73399999999999999</v>
      </c>
    </row>
    <row r="103" spans="1:2" x14ac:dyDescent="0.25">
      <c r="A103" s="2" t="s">
        <v>62</v>
      </c>
      <c r="B103" s="2"/>
    </row>
    <row r="104" spans="1:2" x14ac:dyDescent="0.25">
      <c r="A104" s="2" t="s">
        <v>30</v>
      </c>
      <c r="B104" s="2">
        <v>0.65300000000000002</v>
      </c>
    </row>
    <row r="105" spans="1:2" x14ac:dyDescent="0.25">
      <c r="A105" s="2" t="s">
        <v>31</v>
      </c>
      <c r="B105" s="2">
        <v>0.66</v>
      </c>
    </row>
    <row r="106" spans="1:2" x14ac:dyDescent="0.25">
      <c r="A106" s="2" t="s">
        <v>26</v>
      </c>
      <c r="B106" s="2"/>
    </row>
    <row r="107" spans="1:2" x14ac:dyDescent="0.25">
      <c r="A107" s="2" t="s">
        <v>30</v>
      </c>
      <c r="B107" s="2">
        <v>0.61699999999999999</v>
      </c>
    </row>
    <row r="108" spans="1:2" x14ac:dyDescent="0.25">
      <c r="A108" s="2" t="s">
        <v>31</v>
      </c>
      <c r="B108" s="2">
        <v>0.65100000000000002</v>
      </c>
    </row>
    <row r="109" spans="1:2" x14ac:dyDescent="0.25">
      <c r="A109" s="2" t="s">
        <v>63</v>
      </c>
      <c r="B109" s="2"/>
    </row>
    <row r="110" spans="1:2" x14ac:dyDescent="0.25">
      <c r="A110" s="2" t="s">
        <v>30</v>
      </c>
      <c r="B110" s="2">
        <v>0.67100000000000004</v>
      </c>
    </row>
    <row r="111" spans="1:2" x14ac:dyDescent="0.25">
      <c r="A111" s="2" t="s">
        <v>31</v>
      </c>
      <c r="B111" s="2">
        <v>0.68899999999999995</v>
      </c>
    </row>
    <row r="112" spans="1:2" x14ac:dyDescent="0.25">
      <c r="A112" s="2" t="s">
        <v>64</v>
      </c>
      <c r="B112" s="2"/>
    </row>
    <row r="113" spans="1:2" x14ac:dyDescent="0.25">
      <c r="A113" s="2" t="s">
        <v>30</v>
      </c>
      <c r="B113" s="2">
        <v>0.61</v>
      </c>
    </row>
    <row r="114" spans="1:2" x14ac:dyDescent="0.25">
      <c r="A114" s="2" t="s">
        <v>31</v>
      </c>
      <c r="B114" s="2">
        <v>0.61399999999999999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12778-C40B-4807-A3F3-AD34BFD48462}">
  <sheetPr codeName="Sayfa6"/>
  <dimension ref="A1:J151"/>
  <sheetViews>
    <sheetView workbookViewId="0">
      <selection activeCell="G1" sqref="G1:J4"/>
    </sheetView>
  </sheetViews>
  <sheetFormatPr defaultRowHeight="15" x14ac:dyDescent="0.25"/>
  <cols>
    <col min="1" max="1" width="36.85546875" bestFit="1" customWidth="1"/>
    <col min="4" max="4" width="15.42578125" bestFit="1" customWidth="1"/>
    <col min="5" max="5" width="15.42578125" customWidth="1"/>
    <col min="7" max="7" width="19.42578125" bestFit="1" customWidth="1"/>
  </cols>
  <sheetData>
    <row r="1" spans="1:10" x14ac:dyDescent="0.25">
      <c r="A1" s="2" t="s">
        <v>32</v>
      </c>
      <c r="B1" s="2"/>
      <c r="D1" s="3" t="s">
        <v>101</v>
      </c>
      <c r="E1" s="2">
        <f>AVERAGE(B:B)</f>
        <v>0.59451999999999972</v>
      </c>
      <c r="G1" s="2"/>
      <c r="H1" s="2"/>
      <c r="I1" s="2"/>
      <c r="J1" s="2"/>
    </row>
    <row r="2" spans="1:10" x14ac:dyDescent="0.25">
      <c r="A2" s="2" t="s">
        <v>30</v>
      </c>
      <c r="B2" s="2">
        <v>0.622</v>
      </c>
      <c r="D2" s="3" t="s">
        <v>102</v>
      </c>
      <c r="E2" s="2">
        <f>MIN(B:B)</f>
        <v>0.495</v>
      </c>
      <c r="G2" s="2"/>
      <c r="H2" s="3" t="s">
        <v>105</v>
      </c>
      <c r="I2" s="3" t="s">
        <v>106</v>
      </c>
      <c r="J2" s="3" t="s">
        <v>107</v>
      </c>
    </row>
    <row r="3" spans="1:10" x14ac:dyDescent="0.25">
      <c r="A3" s="2" t="s">
        <v>31</v>
      </c>
      <c r="B3" s="2">
        <v>0.65300000000000002</v>
      </c>
      <c r="D3" s="3" t="s">
        <v>103</v>
      </c>
      <c r="E3" s="2">
        <f>MAX(B:B)</f>
        <v>0.67400000000000004</v>
      </c>
      <c r="G3" s="2" t="s">
        <v>30</v>
      </c>
      <c r="H3" s="2">
        <f ca="1">SUMIF($A:$B,G3,$B:$B)</f>
        <v>29.344000000000001</v>
      </c>
      <c r="I3" s="2">
        <f>COUNTIF($A:$A,G3)</f>
        <v>50</v>
      </c>
      <c r="J3" s="2">
        <f ca="1">H3/I3</f>
        <v>0.58688000000000007</v>
      </c>
    </row>
    <row r="4" spans="1:10" x14ac:dyDescent="0.25">
      <c r="A4" s="2" t="s">
        <v>0</v>
      </c>
      <c r="B4" s="2"/>
      <c r="D4" s="3" t="s">
        <v>104</v>
      </c>
      <c r="E4" s="2">
        <f>_xlfn.STDEV.P(B:B)</f>
        <v>3.4032448115768499E-2</v>
      </c>
      <c r="G4" s="2" t="s">
        <v>31</v>
      </c>
      <c r="H4" s="2">
        <f ca="1">SUMIF($A:$B,G4,$B:$B)</f>
        <v>30.108000000000001</v>
      </c>
      <c r="I4" s="2">
        <f>COUNTIF($A:$A,G4)</f>
        <v>50</v>
      </c>
      <c r="J4" s="2">
        <f ca="1">H4/I4</f>
        <v>0.60216000000000003</v>
      </c>
    </row>
    <row r="5" spans="1:10" x14ac:dyDescent="0.25">
      <c r="A5" s="2" t="s">
        <v>30</v>
      </c>
      <c r="B5" s="2">
        <v>0.59699999999999998</v>
      </c>
    </row>
    <row r="6" spans="1:10" x14ac:dyDescent="0.25">
      <c r="A6" s="2" t="s">
        <v>31</v>
      </c>
      <c r="B6" s="2">
        <v>0.624</v>
      </c>
    </row>
    <row r="7" spans="1:10" x14ac:dyDescent="0.25">
      <c r="A7" s="2" t="s">
        <v>1</v>
      </c>
      <c r="B7" s="2"/>
    </row>
    <row r="8" spans="1:10" x14ac:dyDescent="0.25">
      <c r="A8" s="2" t="s">
        <v>30</v>
      </c>
      <c r="B8" s="2">
        <v>0.63700000000000001</v>
      </c>
    </row>
    <row r="9" spans="1:10" x14ac:dyDescent="0.25">
      <c r="A9" s="2" t="s">
        <v>31</v>
      </c>
      <c r="B9" s="2">
        <v>0.64200000000000002</v>
      </c>
    </row>
    <row r="10" spans="1:10" x14ac:dyDescent="0.25">
      <c r="A10" s="2" t="s">
        <v>2</v>
      </c>
      <c r="B10" s="2"/>
    </row>
    <row r="11" spans="1:10" x14ac:dyDescent="0.25">
      <c r="A11" s="2" t="s">
        <v>30</v>
      </c>
      <c r="B11" s="2">
        <v>0.55200000000000005</v>
      </c>
    </row>
    <row r="12" spans="1:10" x14ac:dyDescent="0.25">
      <c r="A12" s="2" t="s">
        <v>31</v>
      </c>
      <c r="B12" s="2">
        <v>0.55600000000000005</v>
      </c>
    </row>
    <row r="13" spans="1:10" x14ac:dyDescent="0.25">
      <c r="A13" s="2" t="s">
        <v>65</v>
      </c>
      <c r="B13" s="2"/>
    </row>
    <row r="14" spans="1:10" x14ac:dyDescent="0.25">
      <c r="A14" s="2" t="s">
        <v>30</v>
      </c>
      <c r="B14" s="2">
        <v>0.59</v>
      </c>
    </row>
    <row r="15" spans="1:10" x14ac:dyDescent="0.25">
      <c r="A15" s="2" t="s">
        <v>31</v>
      </c>
      <c r="B15" s="2">
        <v>0.60299999999999998</v>
      </c>
    </row>
    <row r="16" spans="1:10" x14ac:dyDescent="0.25">
      <c r="A16" s="2" t="s">
        <v>66</v>
      </c>
      <c r="B16" s="2"/>
    </row>
    <row r="17" spans="1:2" x14ac:dyDescent="0.25">
      <c r="A17" s="2" t="s">
        <v>30</v>
      </c>
      <c r="B17" s="2">
        <v>0.64300000000000002</v>
      </c>
    </row>
    <row r="18" spans="1:2" x14ac:dyDescent="0.25">
      <c r="A18" s="2" t="s">
        <v>31</v>
      </c>
      <c r="B18" s="2">
        <v>0.64600000000000002</v>
      </c>
    </row>
    <row r="19" spans="1:2" x14ac:dyDescent="0.25">
      <c r="A19" s="2" t="s">
        <v>67</v>
      </c>
      <c r="B19" s="2"/>
    </row>
    <row r="20" spans="1:2" x14ac:dyDescent="0.25">
      <c r="A20" s="2" t="s">
        <v>30</v>
      </c>
      <c r="B20" s="2">
        <v>0.61599999999999999</v>
      </c>
    </row>
    <row r="21" spans="1:2" x14ac:dyDescent="0.25">
      <c r="A21" s="2" t="s">
        <v>31</v>
      </c>
      <c r="B21" s="2">
        <v>0.61799999999999999</v>
      </c>
    </row>
    <row r="22" spans="1:2" x14ac:dyDescent="0.25">
      <c r="A22" s="2" t="s">
        <v>68</v>
      </c>
      <c r="B22" s="2"/>
    </row>
    <row r="23" spans="1:2" x14ac:dyDescent="0.25">
      <c r="A23" s="2" t="s">
        <v>30</v>
      </c>
      <c r="B23" s="2">
        <v>0.59899999999999998</v>
      </c>
    </row>
    <row r="24" spans="1:2" x14ac:dyDescent="0.25">
      <c r="A24" s="2" t="s">
        <v>31</v>
      </c>
      <c r="B24" s="2">
        <v>0.63100000000000001</v>
      </c>
    </row>
    <row r="25" spans="1:2" x14ac:dyDescent="0.25">
      <c r="A25" s="2" t="s">
        <v>5</v>
      </c>
      <c r="B25" s="2"/>
    </row>
    <row r="26" spans="1:2" x14ac:dyDescent="0.25">
      <c r="A26" s="2" t="s">
        <v>30</v>
      </c>
      <c r="B26" s="2">
        <v>0.59899999999999998</v>
      </c>
    </row>
    <row r="27" spans="1:2" x14ac:dyDescent="0.25">
      <c r="A27" s="2" t="s">
        <v>31</v>
      </c>
      <c r="B27" s="2">
        <v>0.61699999999999999</v>
      </c>
    </row>
    <row r="28" spans="1:2" x14ac:dyDescent="0.25">
      <c r="A28" s="2" t="s">
        <v>7</v>
      </c>
      <c r="B28" s="2"/>
    </row>
    <row r="29" spans="1:2" x14ac:dyDescent="0.25">
      <c r="A29" s="2" t="s">
        <v>30</v>
      </c>
      <c r="B29" s="2">
        <v>0.60799999999999998</v>
      </c>
    </row>
    <row r="30" spans="1:2" x14ac:dyDescent="0.25">
      <c r="A30" s="2" t="s">
        <v>31</v>
      </c>
      <c r="B30" s="2">
        <v>0.61799999999999999</v>
      </c>
    </row>
    <row r="31" spans="1:2" x14ac:dyDescent="0.25">
      <c r="A31" s="2" t="s">
        <v>10</v>
      </c>
      <c r="B31" s="2"/>
    </row>
    <row r="32" spans="1:2" x14ac:dyDescent="0.25">
      <c r="A32" s="2" t="s">
        <v>30</v>
      </c>
      <c r="B32" s="2">
        <v>0.62</v>
      </c>
    </row>
    <row r="33" spans="1:2" x14ac:dyDescent="0.25">
      <c r="A33" s="2" t="s">
        <v>31</v>
      </c>
      <c r="B33" s="2">
        <v>0.623</v>
      </c>
    </row>
    <row r="34" spans="1:2" x14ac:dyDescent="0.25">
      <c r="A34" s="2" t="s">
        <v>11</v>
      </c>
      <c r="B34" s="2"/>
    </row>
    <row r="35" spans="1:2" x14ac:dyDescent="0.25">
      <c r="A35" s="2" t="s">
        <v>30</v>
      </c>
      <c r="B35" s="2">
        <v>0.61</v>
      </c>
    </row>
    <row r="36" spans="1:2" x14ac:dyDescent="0.25">
      <c r="A36" s="2" t="s">
        <v>31</v>
      </c>
      <c r="B36" s="2">
        <v>0.61399999999999999</v>
      </c>
    </row>
    <row r="37" spans="1:2" x14ac:dyDescent="0.25">
      <c r="A37" s="2" t="s">
        <v>37</v>
      </c>
      <c r="B37" s="2"/>
    </row>
    <row r="38" spans="1:2" x14ac:dyDescent="0.25">
      <c r="A38" s="2" t="s">
        <v>30</v>
      </c>
      <c r="B38" s="2">
        <v>0.54800000000000004</v>
      </c>
    </row>
    <row r="39" spans="1:2" x14ac:dyDescent="0.25">
      <c r="A39" s="2" t="s">
        <v>31</v>
      </c>
      <c r="B39" s="2">
        <v>0.56000000000000005</v>
      </c>
    </row>
    <row r="40" spans="1:2" x14ac:dyDescent="0.25">
      <c r="A40" s="2" t="s">
        <v>38</v>
      </c>
      <c r="B40" s="2"/>
    </row>
    <row r="41" spans="1:2" x14ac:dyDescent="0.25">
      <c r="A41" s="2" t="s">
        <v>30</v>
      </c>
      <c r="B41" s="2">
        <v>0.58399999999999996</v>
      </c>
    </row>
    <row r="42" spans="1:2" x14ac:dyDescent="0.25">
      <c r="A42" s="2" t="s">
        <v>31</v>
      </c>
      <c r="B42" s="2">
        <v>0.59399999999999997</v>
      </c>
    </row>
    <row r="43" spans="1:2" x14ac:dyDescent="0.25">
      <c r="A43" s="2" t="s">
        <v>69</v>
      </c>
      <c r="B43" s="2"/>
    </row>
    <row r="44" spans="1:2" x14ac:dyDescent="0.25">
      <c r="A44" s="2" t="s">
        <v>30</v>
      </c>
      <c r="B44" s="2">
        <v>0.58499999999999996</v>
      </c>
    </row>
    <row r="45" spans="1:2" x14ac:dyDescent="0.25">
      <c r="A45" s="2" t="s">
        <v>31</v>
      </c>
      <c r="B45" s="2">
        <v>0.59499999999999997</v>
      </c>
    </row>
    <row r="46" spans="1:2" x14ac:dyDescent="0.25">
      <c r="A46" s="2" t="s">
        <v>70</v>
      </c>
      <c r="B46" s="2"/>
    </row>
    <row r="47" spans="1:2" x14ac:dyDescent="0.25">
      <c r="A47" s="2" t="s">
        <v>30</v>
      </c>
      <c r="B47" s="2">
        <v>0.60399999999999998</v>
      </c>
    </row>
    <row r="48" spans="1:2" x14ac:dyDescent="0.25">
      <c r="A48" s="2" t="s">
        <v>31</v>
      </c>
      <c r="B48" s="2">
        <v>0.628</v>
      </c>
    </row>
    <row r="49" spans="1:2" x14ac:dyDescent="0.25">
      <c r="A49" s="2" t="s">
        <v>71</v>
      </c>
      <c r="B49" s="2"/>
    </row>
    <row r="50" spans="1:2" x14ac:dyDescent="0.25">
      <c r="A50" s="2" t="s">
        <v>30</v>
      </c>
      <c r="B50" s="2">
        <v>0.59599999999999997</v>
      </c>
    </row>
    <row r="51" spans="1:2" x14ac:dyDescent="0.25">
      <c r="A51" s="2" t="s">
        <v>31</v>
      </c>
      <c r="B51" s="2">
        <v>0.61399999999999999</v>
      </c>
    </row>
    <row r="52" spans="1:2" x14ac:dyDescent="0.25">
      <c r="A52" s="2" t="s">
        <v>53</v>
      </c>
      <c r="B52" s="2"/>
    </row>
    <row r="53" spans="1:2" x14ac:dyDescent="0.25">
      <c r="A53" s="2" t="s">
        <v>30</v>
      </c>
      <c r="B53" s="2">
        <v>0.56000000000000005</v>
      </c>
    </row>
    <row r="54" spans="1:2" x14ac:dyDescent="0.25">
      <c r="A54" s="2" t="s">
        <v>31</v>
      </c>
      <c r="B54" s="2">
        <v>0.58099999999999996</v>
      </c>
    </row>
    <row r="55" spans="1:2" x14ac:dyDescent="0.25">
      <c r="A55" s="2" t="s">
        <v>12</v>
      </c>
      <c r="B55" s="2"/>
    </row>
    <row r="56" spans="1:2" x14ac:dyDescent="0.25">
      <c r="A56" s="2" t="s">
        <v>30</v>
      </c>
      <c r="B56" s="2">
        <v>0.57899999999999996</v>
      </c>
    </row>
    <row r="57" spans="1:2" x14ac:dyDescent="0.25">
      <c r="A57" s="2" t="s">
        <v>31</v>
      </c>
      <c r="B57" s="2">
        <v>0.60799999999999998</v>
      </c>
    </row>
    <row r="58" spans="1:2" x14ac:dyDescent="0.25">
      <c r="A58" s="2" t="s">
        <v>39</v>
      </c>
      <c r="B58" s="2"/>
    </row>
    <row r="59" spans="1:2" x14ac:dyDescent="0.25">
      <c r="A59" s="2" t="s">
        <v>30</v>
      </c>
      <c r="B59" s="2">
        <v>0.53500000000000003</v>
      </c>
    </row>
    <row r="60" spans="1:2" x14ac:dyDescent="0.25">
      <c r="A60" s="2" t="s">
        <v>31</v>
      </c>
      <c r="B60" s="2">
        <v>0.53600000000000003</v>
      </c>
    </row>
    <row r="61" spans="1:2" x14ac:dyDescent="0.25">
      <c r="A61" s="2" t="s">
        <v>54</v>
      </c>
      <c r="B61" s="2"/>
    </row>
    <row r="62" spans="1:2" x14ac:dyDescent="0.25">
      <c r="A62" s="2" t="s">
        <v>30</v>
      </c>
      <c r="B62" s="2">
        <v>0.55900000000000005</v>
      </c>
    </row>
    <row r="63" spans="1:2" x14ac:dyDescent="0.25">
      <c r="A63" s="2" t="s">
        <v>31</v>
      </c>
      <c r="B63" s="2">
        <v>0.56899999999999995</v>
      </c>
    </row>
    <row r="64" spans="1:2" x14ac:dyDescent="0.25">
      <c r="A64" s="2" t="s">
        <v>56</v>
      </c>
      <c r="B64" s="2"/>
    </row>
    <row r="65" spans="1:2" x14ac:dyDescent="0.25">
      <c r="A65" s="2" t="s">
        <v>30</v>
      </c>
      <c r="B65" s="2">
        <v>0.56200000000000006</v>
      </c>
    </row>
    <row r="66" spans="1:2" x14ac:dyDescent="0.25">
      <c r="A66" s="2" t="s">
        <v>31</v>
      </c>
      <c r="B66" s="2">
        <v>0.56499999999999995</v>
      </c>
    </row>
    <row r="67" spans="1:2" x14ac:dyDescent="0.25">
      <c r="A67" s="2" t="s">
        <v>41</v>
      </c>
      <c r="B67" s="2"/>
    </row>
    <row r="68" spans="1:2" x14ac:dyDescent="0.25">
      <c r="A68" s="2" t="s">
        <v>30</v>
      </c>
      <c r="B68" s="2">
        <v>0.56200000000000006</v>
      </c>
    </row>
    <row r="69" spans="1:2" x14ac:dyDescent="0.25">
      <c r="A69" s="2" t="s">
        <v>31</v>
      </c>
      <c r="B69" s="2">
        <v>0.56899999999999995</v>
      </c>
    </row>
    <row r="70" spans="1:2" x14ac:dyDescent="0.25">
      <c r="A70" s="2" t="s">
        <v>43</v>
      </c>
      <c r="B70" s="2"/>
    </row>
    <row r="71" spans="1:2" x14ac:dyDescent="0.25">
      <c r="A71" s="2" t="s">
        <v>30</v>
      </c>
      <c r="B71" s="2">
        <v>0.58199999999999996</v>
      </c>
    </row>
    <row r="72" spans="1:2" x14ac:dyDescent="0.25">
      <c r="A72" s="2" t="s">
        <v>31</v>
      </c>
      <c r="B72" s="2">
        <v>0.58499999999999996</v>
      </c>
    </row>
    <row r="73" spans="1:2" x14ac:dyDescent="0.25">
      <c r="A73" s="2" t="s">
        <v>72</v>
      </c>
      <c r="B73" s="2"/>
    </row>
    <row r="74" spans="1:2" x14ac:dyDescent="0.25">
      <c r="A74" s="2" t="s">
        <v>30</v>
      </c>
      <c r="B74" s="2">
        <v>0.57799999999999996</v>
      </c>
    </row>
    <row r="75" spans="1:2" x14ac:dyDescent="0.25">
      <c r="A75" s="2" t="s">
        <v>31</v>
      </c>
      <c r="B75" s="2">
        <v>0.61699999999999999</v>
      </c>
    </row>
    <row r="76" spans="1:2" x14ac:dyDescent="0.25">
      <c r="A76" s="2" t="s">
        <v>73</v>
      </c>
      <c r="B76" s="2"/>
    </row>
    <row r="77" spans="1:2" x14ac:dyDescent="0.25">
      <c r="A77" s="2" t="s">
        <v>30</v>
      </c>
      <c r="B77" s="2">
        <v>0.57599999999999996</v>
      </c>
    </row>
    <row r="78" spans="1:2" x14ac:dyDescent="0.25">
      <c r="A78" s="2" t="s">
        <v>31</v>
      </c>
      <c r="B78" s="2">
        <v>0.60299999999999998</v>
      </c>
    </row>
    <row r="79" spans="1:2" x14ac:dyDescent="0.25">
      <c r="A79" s="2" t="s">
        <v>44</v>
      </c>
      <c r="B79" s="2"/>
    </row>
    <row r="80" spans="1:2" x14ac:dyDescent="0.25">
      <c r="A80" s="2" t="s">
        <v>30</v>
      </c>
      <c r="B80" s="2">
        <v>0.53700000000000003</v>
      </c>
    </row>
    <row r="81" spans="1:2" x14ac:dyDescent="0.25">
      <c r="A81" s="2" t="s">
        <v>31</v>
      </c>
      <c r="B81" s="2">
        <v>0.56699999999999995</v>
      </c>
    </row>
    <row r="82" spans="1:2" x14ac:dyDescent="0.25">
      <c r="A82" s="2" t="s">
        <v>74</v>
      </c>
      <c r="B82" s="2"/>
    </row>
    <row r="83" spans="1:2" x14ac:dyDescent="0.25">
      <c r="A83" s="2" t="s">
        <v>30</v>
      </c>
      <c r="B83" s="2">
        <v>0.60499999999999998</v>
      </c>
    </row>
    <row r="84" spans="1:2" x14ac:dyDescent="0.25">
      <c r="A84" s="2" t="s">
        <v>31</v>
      </c>
      <c r="B84" s="2">
        <v>0.63600000000000001</v>
      </c>
    </row>
    <row r="85" spans="1:2" x14ac:dyDescent="0.25">
      <c r="A85" s="2" t="s">
        <v>75</v>
      </c>
      <c r="B85" s="2"/>
    </row>
    <row r="86" spans="1:2" x14ac:dyDescent="0.25">
      <c r="A86" s="2" t="s">
        <v>30</v>
      </c>
      <c r="B86" s="2">
        <v>0.60499999999999998</v>
      </c>
    </row>
    <row r="87" spans="1:2" x14ac:dyDescent="0.25">
      <c r="A87" s="2" t="s">
        <v>31</v>
      </c>
      <c r="B87" s="2">
        <v>0.61699999999999999</v>
      </c>
    </row>
    <row r="88" spans="1:2" x14ac:dyDescent="0.25">
      <c r="A88" s="2" t="s">
        <v>45</v>
      </c>
      <c r="B88" s="2"/>
    </row>
    <row r="89" spans="1:2" x14ac:dyDescent="0.25">
      <c r="A89" s="2" t="s">
        <v>30</v>
      </c>
      <c r="B89" s="2">
        <v>0.624</v>
      </c>
    </row>
    <row r="90" spans="1:2" x14ac:dyDescent="0.25">
      <c r="A90" s="2" t="s">
        <v>31</v>
      </c>
      <c r="B90" s="2">
        <v>0.65500000000000003</v>
      </c>
    </row>
    <row r="91" spans="1:2" x14ac:dyDescent="0.25">
      <c r="A91" s="2" t="s">
        <v>58</v>
      </c>
      <c r="B91" s="2"/>
    </row>
    <row r="92" spans="1:2" x14ac:dyDescent="0.25">
      <c r="A92" s="2" t="s">
        <v>30</v>
      </c>
      <c r="B92" s="2">
        <v>0.628</v>
      </c>
    </row>
    <row r="93" spans="1:2" x14ac:dyDescent="0.25">
      <c r="A93" s="2" t="s">
        <v>31</v>
      </c>
      <c r="B93" s="2">
        <v>0.63200000000000001</v>
      </c>
    </row>
    <row r="94" spans="1:2" x14ac:dyDescent="0.25">
      <c r="A94" s="2" t="s">
        <v>76</v>
      </c>
      <c r="B94" s="2"/>
    </row>
    <row r="95" spans="1:2" x14ac:dyDescent="0.25">
      <c r="A95" s="2" t="s">
        <v>30</v>
      </c>
      <c r="B95" s="2">
        <v>0.60799999999999998</v>
      </c>
    </row>
    <row r="96" spans="1:2" x14ac:dyDescent="0.25">
      <c r="A96" s="2" t="s">
        <v>31</v>
      </c>
      <c r="B96" s="2">
        <v>0.61499999999999999</v>
      </c>
    </row>
    <row r="97" spans="1:2" x14ac:dyDescent="0.25">
      <c r="A97" s="2" t="s">
        <v>60</v>
      </c>
      <c r="B97" s="2"/>
    </row>
    <row r="98" spans="1:2" x14ac:dyDescent="0.25">
      <c r="A98" s="2" t="s">
        <v>30</v>
      </c>
      <c r="B98" s="2">
        <v>0.59799999999999998</v>
      </c>
    </row>
    <row r="99" spans="1:2" x14ac:dyDescent="0.25">
      <c r="A99" s="2" t="s">
        <v>31</v>
      </c>
      <c r="B99" s="2">
        <v>0.64600000000000002</v>
      </c>
    </row>
    <row r="100" spans="1:2" x14ac:dyDescent="0.25">
      <c r="A100" s="2" t="s">
        <v>47</v>
      </c>
      <c r="B100" s="2"/>
    </row>
    <row r="101" spans="1:2" x14ac:dyDescent="0.25">
      <c r="A101" s="2" t="s">
        <v>30</v>
      </c>
      <c r="B101" s="2">
        <v>0.57099999999999995</v>
      </c>
    </row>
    <row r="102" spans="1:2" x14ac:dyDescent="0.25">
      <c r="A102" s="2" t="s">
        <v>31</v>
      </c>
      <c r="B102" s="2">
        <v>0.59699999999999998</v>
      </c>
    </row>
    <row r="103" spans="1:2" x14ac:dyDescent="0.25">
      <c r="A103" s="2" t="s">
        <v>22</v>
      </c>
      <c r="B103" s="2"/>
    </row>
    <row r="104" spans="1:2" x14ac:dyDescent="0.25">
      <c r="A104" s="2" t="s">
        <v>30</v>
      </c>
      <c r="B104" s="2">
        <v>0.57999999999999996</v>
      </c>
    </row>
    <row r="105" spans="1:2" x14ac:dyDescent="0.25">
      <c r="A105" s="2" t="s">
        <v>31</v>
      </c>
      <c r="B105" s="2">
        <v>0.59499999999999997</v>
      </c>
    </row>
    <row r="106" spans="1:2" x14ac:dyDescent="0.25">
      <c r="A106" s="2" t="s">
        <v>77</v>
      </c>
      <c r="B106" s="2"/>
    </row>
    <row r="107" spans="1:2" x14ac:dyDescent="0.25">
      <c r="A107" s="2" t="s">
        <v>30</v>
      </c>
      <c r="B107" s="2">
        <v>0.66100000000000003</v>
      </c>
    </row>
    <row r="108" spans="1:2" x14ac:dyDescent="0.25">
      <c r="A108" s="2" t="s">
        <v>31</v>
      </c>
      <c r="B108" s="2">
        <v>0.67400000000000004</v>
      </c>
    </row>
    <row r="109" spans="1:2" x14ac:dyDescent="0.25">
      <c r="A109" s="2" t="s">
        <v>48</v>
      </c>
      <c r="B109" s="2"/>
    </row>
    <row r="110" spans="1:2" x14ac:dyDescent="0.25">
      <c r="A110" s="2" t="s">
        <v>30</v>
      </c>
      <c r="B110" s="2">
        <v>0.57999999999999996</v>
      </c>
    </row>
    <row r="111" spans="1:2" x14ac:dyDescent="0.25">
      <c r="A111" s="2" t="s">
        <v>31</v>
      </c>
      <c r="B111" s="2">
        <v>0.57999999999999996</v>
      </c>
    </row>
    <row r="112" spans="1:2" x14ac:dyDescent="0.25">
      <c r="A112" s="2" t="s">
        <v>78</v>
      </c>
      <c r="B112" s="2"/>
    </row>
    <row r="113" spans="1:2" x14ac:dyDescent="0.25">
      <c r="A113" s="2" t="s">
        <v>30</v>
      </c>
      <c r="B113" s="2">
        <v>0.54300000000000004</v>
      </c>
    </row>
    <row r="114" spans="1:2" x14ac:dyDescent="0.25">
      <c r="A114" s="2" t="s">
        <v>31</v>
      </c>
      <c r="B114" s="2">
        <v>0.55800000000000005</v>
      </c>
    </row>
    <row r="115" spans="1:2" x14ac:dyDescent="0.25">
      <c r="A115" s="2" t="s">
        <v>61</v>
      </c>
      <c r="B115" s="2"/>
    </row>
    <row r="116" spans="1:2" x14ac:dyDescent="0.25">
      <c r="A116" s="2" t="s">
        <v>30</v>
      </c>
      <c r="B116" s="2">
        <v>0.58399999999999996</v>
      </c>
    </row>
    <row r="117" spans="1:2" x14ac:dyDescent="0.25">
      <c r="A117" s="2" t="s">
        <v>31</v>
      </c>
      <c r="B117" s="2">
        <v>0.60199999999999998</v>
      </c>
    </row>
    <row r="118" spans="1:2" x14ac:dyDescent="0.25">
      <c r="A118" s="2" t="s">
        <v>24</v>
      </c>
      <c r="B118" s="2"/>
    </row>
    <row r="119" spans="1:2" x14ac:dyDescent="0.25">
      <c r="A119" s="2" t="s">
        <v>30</v>
      </c>
      <c r="B119" s="2">
        <v>0.59499999999999997</v>
      </c>
    </row>
    <row r="120" spans="1:2" x14ac:dyDescent="0.25">
      <c r="A120" s="2" t="s">
        <v>31</v>
      </c>
      <c r="B120" s="2">
        <v>0.60799999999999998</v>
      </c>
    </row>
    <row r="121" spans="1:2" x14ac:dyDescent="0.25">
      <c r="A121" s="2" t="s">
        <v>79</v>
      </c>
      <c r="B121" s="2"/>
    </row>
    <row r="122" spans="1:2" x14ac:dyDescent="0.25">
      <c r="A122" s="2" t="s">
        <v>30</v>
      </c>
      <c r="B122" s="2">
        <v>0.495</v>
      </c>
    </row>
    <row r="123" spans="1:2" x14ac:dyDescent="0.25">
      <c r="A123" s="2" t="s">
        <v>31</v>
      </c>
      <c r="B123" s="2">
        <v>0.496</v>
      </c>
    </row>
    <row r="124" spans="1:2" x14ac:dyDescent="0.25">
      <c r="A124" s="2" t="s">
        <v>80</v>
      </c>
      <c r="B124" s="2"/>
    </row>
    <row r="125" spans="1:2" x14ac:dyDescent="0.25">
      <c r="A125" s="2" t="s">
        <v>30</v>
      </c>
      <c r="B125" s="2">
        <v>0.626</v>
      </c>
    </row>
    <row r="126" spans="1:2" x14ac:dyDescent="0.25">
      <c r="A126" s="2" t="s">
        <v>31</v>
      </c>
      <c r="B126" s="2">
        <v>0.63800000000000001</v>
      </c>
    </row>
    <row r="127" spans="1:2" x14ac:dyDescent="0.25">
      <c r="A127" s="2" t="s">
        <v>81</v>
      </c>
      <c r="B127" s="2"/>
    </row>
    <row r="128" spans="1:2" x14ac:dyDescent="0.25">
      <c r="A128" s="2" t="s">
        <v>30</v>
      </c>
      <c r="B128" s="2">
        <v>0.60799999999999998</v>
      </c>
    </row>
    <row r="129" spans="1:2" x14ac:dyDescent="0.25">
      <c r="A129" s="2" t="s">
        <v>31</v>
      </c>
      <c r="B129" s="2">
        <v>0.61299999999999999</v>
      </c>
    </row>
    <row r="130" spans="1:2" x14ac:dyDescent="0.25">
      <c r="A130" s="2" t="s">
        <v>25</v>
      </c>
      <c r="B130" s="2"/>
    </row>
    <row r="131" spans="1:2" x14ac:dyDescent="0.25">
      <c r="A131" s="2" t="s">
        <v>30</v>
      </c>
      <c r="B131" s="2">
        <v>0.60699999999999998</v>
      </c>
    </row>
    <row r="132" spans="1:2" x14ac:dyDescent="0.25">
      <c r="A132" s="2" t="s">
        <v>31</v>
      </c>
      <c r="B132" s="2">
        <v>0.61699999999999999</v>
      </c>
    </row>
    <row r="133" spans="1:2" x14ac:dyDescent="0.25">
      <c r="A133" s="2" t="s">
        <v>26</v>
      </c>
      <c r="B133" s="2"/>
    </row>
    <row r="134" spans="1:2" x14ac:dyDescent="0.25">
      <c r="A134" s="2" t="s">
        <v>30</v>
      </c>
      <c r="B134" s="2">
        <v>0.54500000000000004</v>
      </c>
    </row>
    <row r="135" spans="1:2" x14ac:dyDescent="0.25">
      <c r="A135" s="2" t="s">
        <v>31</v>
      </c>
      <c r="B135" s="2">
        <v>0.56200000000000006</v>
      </c>
    </row>
    <row r="136" spans="1:2" x14ac:dyDescent="0.25">
      <c r="A136" s="2" t="s">
        <v>63</v>
      </c>
      <c r="B136" s="2"/>
    </row>
    <row r="137" spans="1:2" x14ac:dyDescent="0.25">
      <c r="A137" s="2" t="s">
        <v>30</v>
      </c>
      <c r="B137" s="2">
        <v>0.51500000000000001</v>
      </c>
    </row>
    <row r="138" spans="1:2" x14ac:dyDescent="0.25">
      <c r="A138" s="2" t="s">
        <v>31</v>
      </c>
      <c r="B138" s="2">
        <v>0.55000000000000004</v>
      </c>
    </row>
    <row r="139" spans="1:2" x14ac:dyDescent="0.25">
      <c r="A139" s="2" t="s">
        <v>27</v>
      </c>
      <c r="B139" s="2"/>
    </row>
    <row r="140" spans="1:2" x14ac:dyDescent="0.25">
      <c r="A140" s="2" t="s">
        <v>30</v>
      </c>
      <c r="B140" s="2">
        <v>0.55500000000000005</v>
      </c>
    </row>
    <row r="141" spans="1:2" x14ac:dyDescent="0.25">
      <c r="A141" s="2" t="s">
        <v>31</v>
      </c>
      <c r="B141" s="2">
        <v>0.56299999999999994</v>
      </c>
    </row>
    <row r="142" spans="1:2" x14ac:dyDescent="0.25">
      <c r="A142" s="2" t="s">
        <v>28</v>
      </c>
      <c r="B142" s="2"/>
    </row>
    <row r="143" spans="1:2" x14ac:dyDescent="0.25">
      <c r="A143" s="2" t="s">
        <v>30</v>
      </c>
      <c r="B143" s="2">
        <v>0.61099999999999999</v>
      </c>
    </row>
    <row r="144" spans="1:2" x14ac:dyDescent="0.25">
      <c r="A144" s="2" t="s">
        <v>31</v>
      </c>
      <c r="B144" s="2">
        <v>0.62</v>
      </c>
    </row>
    <row r="145" spans="1:2" x14ac:dyDescent="0.25">
      <c r="A145" s="2" t="s">
        <v>64</v>
      </c>
      <c r="B145" s="2"/>
    </row>
    <row r="146" spans="1:2" x14ac:dyDescent="0.25">
      <c r="A146" s="2" t="s">
        <v>30</v>
      </c>
      <c r="B146" s="2">
        <v>0.57699999999999996</v>
      </c>
    </row>
    <row r="147" spans="1:2" x14ac:dyDescent="0.25">
      <c r="A147" s="2" t="s">
        <v>31</v>
      </c>
      <c r="B147" s="2">
        <v>0.58599999999999997</v>
      </c>
    </row>
    <row r="148" spans="1:2" x14ac:dyDescent="0.25">
      <c r="A148" s="2" t="s">
        <v>50</v>
      </c>
      <c r="B148" s="2"/>
    </row>
    <row r="149" spans="1:2" x14ac:dyDescent="0.25">
      <c r="A149" s="2" t="s">
        <v>30</v>
      </c>
      <c r="B149" s="2">
        <v>0.58299999999999996</v>
      </c>
    </row>
    <row r="150" spans="1:2" x14ac:dyDescent="0.25">
      <c r="A150" s="2" t="s">
        <v>31</v>
      </c>
      <c r="B150" s="2">
        <v>0.61199999999999999</v>
      </c>
    </row>
    <row r="151" spans="1:2" x14ac:dyDescent="0.25">
      <c r="B151" s="1">
        <f>AVERAGE(B1:B150)</f>
        <v>0.59451999999999972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78AEB-0603-4211-BCC3-286F61FF65CE}">
  <sheetPr codeName="Sayfa7"/>
  <dimension ref="A1:J151"/>
  <sheetViews>
    <sheetView workbookViewId="0">
      <selection activeCell="E4" sqref="E4"/>
    </sheetView>
  </sheetViews>
  <sheetFormatPr defaultRowHeight="15" x14ac:dyDescent="0.25"/>
  <cols>
    <col min="1" max="1" width="38" bestFit="1" customWidth="1"/>
    <col min="4" max="4" width="16.5703125" customWidth="1"/>
    <col min="5" max="5" width="16.42578125" customWidth="1"/>
    <col min="7" max="7" width="19.42578125" bestFit="1" customWidth="1"/>
  </cols>
  <sheetData>
    <row r="1" spans="1:10" x14ac:dyDescent="0.25">
      <c r="A1" s="2" t="s">
        <v>32</v>
      </c>
      <c r="B1" s="2"/>
      <c r="D1" s="3" t="s">
        <v>101</v>
      </c>
      <c r="E1" s="2">
        <f>AVERAGE(B:B)</f>
        <v>0.65719000000000005</v>
      </c>
      <c r="G1" s="2"/>
      <c r="H1" s="2"/>
      <c r="I1" s="2"/>
      <c r="J1" s="2"/>
    </row>
    <row r="2" spans="1:10" x14ac:dyDescent="0.25">
      <c r="A2" s="2" t="s">
        <v>30</v>
      </c>
      <c r="B2" s="2">
        <v>0.68500000000000005</v>
      </c>
      <c r="D2" s="3" t="s">
        <v>102</v>
      </c>
      <c r="E2" s="2">
        <f>MIN(B:B)</f>
        <v>0.57199999999999995</v>
      </c>
      <c r="G2" s="2"/>
      <c r="H2" s="3" t="s">
        <v>105</v>
      </c>
      <c r="I2" s="3" t="s">
        <v>106</v>
      </c>
      <c r="J2" s="3" t="s">
        <v>107</v>
      </c>
    </row>
    <row r="3" spans="1:10" x14ac:dyDescent="0.25">
      <c r="A3" s="2" t="s">
        <v>31</v>
      </c>
      <c r="B3" s="2">
        <v>0.68700000000000006</v>
      </c>
      <c r="D3" s="3" t="s">
        <v>103</v>
      </c>
      <c r="E3" s="2">
        <f>MAX(B:B)</f>
        <v>0.73799999999999999</v>
      </c>
      <c r="G3" s="2" t="s">
        <v>30</v>
      </c>
      <c r="H3" s="2">
        <f ca="1">SUMIF($A:$B,G3,$B:$B)</f>
        <v>32.646000000000001</v>
      </c>
      <c r="I3" s="2">
        <f>COUNTIF($A:$A,G3)</f>
        <v>50</v>
      </c>
      <c r="J3" s="2">
        <f ca="1">H3/I3</f>
        <v>0.65292000000000006</v>
      </c>
    </row>
    <row r="4" spans="1:10" x14ac:dyDescent="0.25">
      <c r="A4" s="2" t="s">
        <v>82</v>
      </c>
      <c r="B4" s="2"/>
      <c r="D4" s="3" t="s">
        <v>104</v>
      </c>
      <c r="E4" s="2">
        <f>_xlfn.STDEV.P(B:B)</f>
        <v>3.2584906607413526E-2</v>
      </c>
      <c r="G4" s="2" t="s">
        <v>31</v>
      </c>
      <c r="H4" s="2">
        <f ca="1">SUMIF($A:$B,G4,$B:$B)</f>
        <v>33.073</v>
      </c>
      <c r="I4" s="2">
        <f>COUNTIF($A:$A,G4)</f>
        <v>50</v>
      </c>
      <c r="J4" s="2">
        <f ca="1">H4/I4</f>
        <v>0.66146000000000005</v>
      </c>
    </row>
    <row r="5" spans="1:10" x14ac:dyDescent="0.25">
      <c r="A5" s="2" t="s">
        <v>30</v>
      </c>
      <c r="B5" s="2">
        <v>0.67300000000000004</v>
      </c>
    </row>
    <row r="6" spans="1:10" x14ac:dyDescent="0.25">
      <c r="A6" s="2" t="s">
        <v>31</v>
      </c>
      <c r="B6" s="2">
        <v>0.68799999999999994</v>
      </c>
    </row>
    <row r="7" spans="1:10" x14ac:dyDescent="0.25">
      <c r="A7" s="2" t="s">
        <v>83</v>
      </c>
      <c r="B7" s="2"/>
    </row>
    <row r="8" spans="1:10" x14ac:dyDescent="0.25">
      <c r="A8" s="2" t="s">
        <v>30</v>
      </c>
      <c r="B8" s="2">
        <v>0.65700000000000003</v>
      </c>
    </row>
    <row r="9" spans="1:10" x14ac:dyDescent="0.25">
      <c r="A9" s="2" t="s">
        <v>31</v>
      </c>
      <c r="B9" s="2">
        <v>0.67800000000000005</v>
      </c>
    </row>
    <row r="10" spans="1:10" x14ac:dyDescent="0.25">
      <c r="A10" s="2" t="s">
        <v>65</v>
      </c>
      <c r="B10" s="2"/>
    </row>
    <row r="11" spans="1:10" x14ac:dyDescent="0.25">
      <c r="A11" s="2" t="s">
        <v>30</v>
      </c>
      <c r="B11" s="2">
        <v>0.58799999999999997</v>
      </c>
    </row>
    <row r="12" spans="1:10" x14ac:dyDescent="0.25">
      <c r="A12" s="2" t="s">
        <v>31</v>
      </c>
      <c r="B12" s="2">
        <v>0.59399999999999997</v>
      </c>
    </row>
    <row r="13" spans="1:10" x14ac:dyDescent="0.25">
      <c r="A13" s="2" t="s">
        <v>67</v>
      </c>
      <c r="B13" s="2"/>
    </row>
    <row r="14" spans="1:10" x14ac:dyDescent="0.25">
      <c r="A14" s="2" t="s">
        <v>30</v>
      </c>
      <c r="B14" s="2">
        <v>0.73299999999999998</v>
      </c>
    </row>
    <row r="15" spans="1:10" x14ac:dyDescent="0.25">
      <c r="A15" s="2" t="s">
        <v>31</v>
      </c>
      <c r="B15" s="2">
        <v>0.73799999999999999</v>
      </c>
    </row>
    <row r="16" spans="1:10" x14ac:dyDescent="0.25">
      <c r="A16" s="2" t="s">
        <v>5</v>
      </c>
      <c r="B16" s="2"/>
    </row>
    <row r="17" spans="1:2" x14ac:dyDescent="0.25">
      <c r="A17" s="2" t="s">
        <v>30</v>
      </c>
      <c r="B17" s="2">
        <v>0.63200000000000001</v>
      </c>
    </row>
    <row r="18" spans="1:2" x14ac:dyDescent="0.25">
      <c r="A18" s="2" t="s">
        <v>31</v>
      </c>
      <c r="B18" s="2">
        <v>0.63400000000000001</v>
      </c>
    </row>
    <row r="19" spans="1:2" x14ac:dyDescent="0.25">
      <c r="A19" s="2" t="s">
        <v>36</v>
      </c>
      <c r="B19" s="2"/>
    </row>
    <row r="20" spans="1:2" x14ac:dyDescent="0.25">
      <c r="A20" s="2" t="s">
        <v>30</v>
      </c>
      <c r="B20" s="2">
        <v>0.65100000000000002</v>
      </c>
    </row>
    <row r="21" spans="1:2" x14ac:dyDescent="0.25">
      <c r="A21" s="2" t="s">
        <v>31</v>
      </c>
      <c r="B21" s="2">
        <v>0.65400000000000003</v>
      </c>
    </row>
    <row r="22" spans="1:2" x14ac:dyDescent="0.25">
      <c r="A22" s="2" t="s">
        <v>51</v>
      </c>
      <c r="B22" s="2"/>
    </row>
    <row r="23" spans="1:2" x14ac:dyDescent="0.25">
      <c r="A23" s="2" t="s">
        <v>30</v>
      </c>
      <c r="B23" s="2">
        <v>0.63</v>
      </c>
    </row>
    <row r="24" spans="1:2" x14ac:dyDescent="0.25">
      <c r="A24" s="2" t="s">
        <v>31</v>
      </c>
      <c r="B24" s="2">
        <v>0.63</v>
      </c>
    </row>
    <row r="25" spans="1:2" x14ac:dyDescent="0.25">
      <c r="A25" s="2" t="s">
        <v>9</v>
      </c>
      <c r="B25" s="2"/>
    </row>
    <row r="26" spans="1:2" x14ac:dyDescent="0.25">
      <c r="A26" s="2" t="s">
        <v>30</v>
      </c>
      <c r="B26" s="2">
        <v>0.60899999999999999</v>
      </c>
    </row>
    <row r="27" spans="1:2" x14ac:dyDescent="0.25">
      <c r="A27" s="2" t="s">
        <v>31</v>
      </c>
      <c r="B27" s="2">
        <v>0.61599999999999999</v>
      </c>
    </row>
    <row r="28" spans="1:2" x14ac:dyDescent="0.25">
      <c r="A28" s="2" t="s">
        <v>52</v>
      </c>
      <c r="B28" s="2"/>
    </row>
    <row r="29" spans="1:2" x14ac:dyDescent="0.25">
      <c r="A29" s="2" t="s">
        <v>30</v>
      </c>
      <c r="B29" s="2">
        <v>0.622</v>
      </c>
    </row>
    <row r="30" spans="1:2" x14ac:dyDescent="0.25">
      <c r="A30" s="2" t="s">
        <v>31</v>
      </c>
      <c r="B30" s="2">
        <v>0.63</v>
      </c>
    </row>
    <row r="31" spans="1:2" x14ac:dyDescent="0.25">
      <c r="A31" s="2" t="s">
        <v>10</v>
      </c>
      <c r="B31" s="2"/>
    </row>
    <row r="32" spans="1:2" x14ac:dyDescent="0.25">
      <c r="A32" s="2" t="s">
        <v>30</v>
      </c>
      <c r="B32" s="2">
        <v>0.66600000000000004</v>
      </c>
    </row>
    <row r="33" spans="1:2" x14ac:dyDescent="0.25">
      <c r="A33" s="2" t="s">
        <v>31</v>
      </c>
      <c r="B33" s="2">
        <v>0.67400000000000004</v>
      </c>
    </row>
    <row r="34" spans="1:2" x14ac:dyDescent="0.25">
      <c r="A34" s="2" t="s">
        <v>84</v>
      </c>
      <c r="B34" s="2"/>
    </row>
    <row r="35" spans="1:2" x14ac:dyDescent="0.25">
      <c r="A35" s="2" t="s">
        <v>30</v>
      </c>
      <c r="B35" s="2">
        <v>0.64300000000000002</v>
      </c>
    </row>
    <row r="36" spans="1:2" x14ac:dyDescent="0.25">
      <c r="A36" s="2" t="s">
        <v>31</v>
      </c>
      <c r="B36" s="2">
        <v>0.65300000000000002</v>
      </c>
    </row>
    <row r="37" spans="1:2" x14ac:dyDescent="0.25">
      <c r="A37" s="2" t="s">
        <v>85</v>
      </c>
      <c r="B37" s="2"/>
    </row>
    <row r="38" spans="1:2" x14ac:dyDescent="0.25">
      <c r="A38" s="2" t="s">
        <v>30</v>
      </c>
      <c r="B38" s="2">
        <v>0.67</v>
      </c>
    </row>
    <row r="39" spans="1:2" x14ac:dyDescent="0.25">
      <c r="A39" s="2" t="s">
        <v>31</v>
      </c>
      <c r="B39" s="2">
        <v>0.67800000000000005</v>
      </c>
    </row>
    <row r="40" spans="1:2" x14ac:dyDescent="0.25">
      <c r="A40" s="2" t="s">
        <v>37</v>
      </c>
      <c r="B40" s="2"/>
    </row>
    <row r="41" spans="1:2" x14ac:dyDescent="0.25">
      <c r="A41" s="2" t="s">
        <v>30</v>
      </c>
      <c r="B41" s="2">
        <v>0.65200000000000002</v>
      </c>
    </row>
    <row r="42" spans="1:2" x14ac:dyDescent="0.25">
      <c r="A42" s="2" t="s">
        <v>31</v>
      </c>
      <c r="B42" s="2">
        <v>0.66200000000000003</v>
      </c>
    </row>
    <row r="43" spans="1:2" x14ac:dyDescent="0.25">
      <c r="A43" s="2" t="s">
        <v>69</v>
      </c>
      <c r="B43" s="2"/>
    </row>
    <row r="44" spans="1:2" x14ac:dyDescent="0.25">
      <c r="A44" s="2" t="s">
        <v>30</v>
      </c>
      <c r="B44" s="2">
        <v>0.68899999999999995</v>
      </c>
    </row>
    <row r="45" spans="1:2" x14ac:dyDescent="0.25">
      <c r="A45" s="2" t="s">
        <v>31</v>
      </c>
      <c r="B45" s="2">
        <v>0.69299999999999995</v>
      </c>
    </row>
    <row r="46" spans="1:2" x14ac:dyDescent="0.25">
      <c r="A46" s="2" t="s">
        <v>71</v>
      </c>
      <c r="B46" s="2"/>
    </row>
    <row r="47" spans="1:2" x14ac:dyDescent="0.25">
      <c r="A47" s="2" t="s">
        <v>30</v>
      </c>
      <c r="B47" s="2">
        <v>0.64400000000000002</v>
      </c>
    </row>
    <row r="48" spans="1:2" x14ac:dyDescent="0.25">
      <c r="A48" s="2" t="s">
        <v>31</v>
      </c>
      <c r="B48" s="2">
        <v>0.66700000000000004</v>
      </c>
    </row>
    <row r="49" spans="1:2" x14ac:dyDescent="0.25">
      <c r="A49" s="2" t="s">
        <v>53</v>
      </c>
      <c r="B49" s="2"/>
    </row>
    <row r="50" spans="1:2" x14ac:dyDescent="0.25">
      <c r="A50" s="2" t="s">
        <v>30</v>
      </c>
      <c r="B50" s="2">
        <v>0.67600000000000005</v>
      </c>
    </row>
    <row r="51" spans="1:2" x14ac:dyDescent="0.25">
      <c r="A51" s="2" t="s">
        <v>31</v>
      </c>
      <c r="B51" s="2">
        <v>0.69299999999999995</v>
      </c>
    </row>
    <row r="52" spans="1:2" x14ac:dyDescent="0.25">
      <c r="A52" s="2" t="s">
        <v>12</v>
      </c>
      <c r="B52" s="2"/>
    </row>
    <row r="53" spans="1:2" x14ac:dyDescent="0.25">
      <c r="A53" s="2" t="s">
        <v>30</v>
      </c>
      <c r="B53" s="2">
        <v>0.64100000000000001</v>
      </c>
    </row>
    <row r="54" spans="1:2" x14ac:dyDescent="0.25">
      <c r="A54" s="2" t="s">
        <v>31</v>
      </c>
      <c r="B54" s="2">
        <v>0.65700000000000003</v>
      </c>
    </row>
    <row r="55" spans="1:2" x14ac:dyDescent="0.25">
      <c r="A55" s="2" t="s">
        <v>13</v>
      </c>
      <c r="B55" s="2"/>
    </row>
    <row r="56" spans="1:2" x14ac:dyDescent="0.25">
      <c r="A56" s="2" t="s">
        <v>30</v>
      </c>
      <c r="B56" s="2">
        <v>0.59199999999999997</v>
      </c>
    </row>
    <row r="57" spans="1:2" x14ac:dyDescent="0.25">
      <c r="A57" s="2" t="s">
        <v>31</v>
      </c>
      <c r="B57" s="2">
        <v>0.59399999999999997</v>
      </c>
    </row>
    <row r="58" spans="1:2" x14ac:dyDescent="0.25">
      <c r="A58" s="2" t="s">
        <v>39</v>
      </c>
      <c r="B58" s="2"/>
    </row>
    <row r="59" spans="1:2" x14ac:dyDescent="0.25">
      <c r="A59" s="2" t="s">
        <v>30</v>
      </c>
      <c r="B59" s="2">
        <v>0.626</v>
      </c>
    </row>
    <row r="60" spans="1:2" x14ac:dyDescent="0.25">
      <c r="A60" s="2" t="s">
        <v>31</v>
      </c>
      <c r="B60" s="2">
        <v>0.63700000000000001</v>
      </c>
    </row>
    <row r="61" spans="1:2" x14ac:dyDescent="0.25">
      <c r="A61" s="2" t="s">
        <v>86</v>
      </c>
      <c r="B61" s="2"/>
    </row>
    <row r="62" spans="1:2" x14ac:dyDescent="0.25">
      <c r="A62" s="2" t="s">
        <v>30</v>
      </c>
      <c r="B62" s="2">
        <v>0.70799999999999996</v>
      </c>
    </row>
    <row r="63" spans="1:2" x14ac:dyDescent="0.25">
      <c r="A63" s="2" t="s">
        <v>31</v>
      </c>
      <c r="B63" s="2">
        <v>0.71299999999999997</v>
      </c>
    </row>
    <row r="64" spans="1:2" x14ac:dyDescent="0.25">
      <c r="A64" s="2" t="s">
        <v>14</v>
      </c>
      <c r="B64" s="2"/>
    </row>
    <row r="65" spans="1:2" x14ac:dyDescent="0.25">
      <c r="A65" s="2" t="s">
        <v>30</v>
      </c>
      <c r="B65" s="2">
        <v>0.68300000000000005</v>
      </c>
    </row>
    <row r="66" spans="1:2" x14ac:dyDescent="0.25">
      <c r="A66" s="2" t="s">
        <v>31</v>
      </c>
      <c r="B66" s="2">
        <v>0.70099999999999996</v>
      </c>
    </row>
    <row r="67" spans="1:2" x14ac:dyDescent="0.25">
      <c r="A67" s="2" t="s">
        <v>42</v>
      </c>
      <c r="B67" s="2"/>
    </row>
    <row r="68" spans="1:2" x14ac:dyDescent="0.25">
      <c r="A68" s="2" t="s">
        <v>30</v>
      </c>
      <c r="B68" s="2">
        <v>0.66800000000000004</v>
      </c>
    </row>
    <row r="69" spans="1:2" x14ac:dyDescent="0.25">
      <c r="A69" s="2" t="s">
        <v>31</v>
      </c>
      <c r="B69" s="2">
        <v>0.67400000000000004</v>
      </c>
    </row>
    <row r="70" spans="1:2" x14ac:dyDescent="0.25">
      <c r="A70" s="2" t="s">
        <v>15</v>
      </c>
      <c r="B70" s="2"/>
    </row>
    <row r="71" spans="1:2" x14ac:dyDescent="0.25">
      <c r="A71" s="2" t="s">
        <v>30</v>
      </c>
      <c r="B71" s="2">
        <v>0.60499999999999998</v>
      </c>
    </row>
    <row r="72" spans="1:2" x14ac:dyDescent="0.25">
      <c r="A72" s="2" t="s">
        <v>31</v>
      </c>
      <c r="B72" s="2">
        <v>0.60599999999999998</v>
      </c>
    </row>
    <row r="73" spans="1:2" x14ac:dyDescent="0.25">
      <c r="A73" s="2" t="s">
        <v>43</v>
      </c>
      <c r="B73" s="2"/>
    </row>
    <row r="74" spans="1:2" x14ac:dyDescent="0.25">
      <c r="A74" s="2" t="s">
        <v>30</v>
      </c>
      <c r="B74" s="2">
        <v>0.621</v>
      </c>
    </row>
    <row r="75" spans="1:2" x14ac:dyDescent="0.25">
      <c r="A75" s="2" t="s">
        <v>31</v>
      </c>
      <c r="B75" s="2">
        <v>0.63100000000000001</v>
      </c>
    </row>
    <row r="76" spans="1:2" x14ac:dyDescent="0.25">
      <c r="A76" s="2" t="s">
        <v>16</v>
      </c>
      <c r="B76" s="2"/>
    </row>
    <row r="77" spans="1:2" x14ac:dyDescent="0.25">
      <c r="A77" s="2" t="s">
        <v>30</v>
      </c>
      <c r="B77" s="2">
        <v>0.67200000000000004</v>
      </c>
    </row>
    <row r="78" spans="1:2" x14ac:dyDescent="0.25">
      <c r="A78" s="2" t="s">
        <v>31</v>
      </c>
      <c r="B78" s="2">
        <v>0.67700000000000005</v>
      </c>
    </row>
    <row r="79" spans="1:2" x14ac:dyDescent="0.25">
      <c r="A79" s="2" t="s">
        <v>17</v>
      </c>
      <c r="B79" s="2"/>
    </row>
    <row r="80" spans="1:2" x14ac:dyDescent="0.25">
      <c r="A80" s="2" t="s">
        <v>30</v>
      </c>
      <c r="B80" s="2">
        <v>0.67100000000000004</v>
      </c>
    </row>
    <row r="81" spans="1:10" x14ac:dyDescent="0.25">
      <c r="A81" s="2" t="s">
        <v>31</v>
      </c>
      <c r="B81" s="2">
        <v>0.67500000000000004</v>
      </c>
    </row>
    <row r="82" spans="1:10" x14ac:dyDescent="0.25">
      <c r="A82" s="2" t="s">
        <v>73</v>
      </c>
      <c r="B82" s="2"/>
    </row>
    <row r="83" spans="1:10" x14ac:dyDescent="0.25">
      <c r="A83" s="2" t="s">
        <v>30</v>
      </c>
      <c r="B83" s="2">
        <v>0.627</v>
      </c>
      <c r="D83" s="3" t="s">
        <v>101</v>
      </c>
      <c r="E83" s="2">
        <f>AVERAGE(B:B)</f>
        <v>0.65719000000000005</v>
      </c>
      <c r="G83" s="2"/>
      <c r="H83" s="2"/>
      <c r="I83" s="2"/>
      <c r="J83" s="2"/>
    </row>
    <row r="84" spans="1:10" x14ac:dyDescent="0.25">
      <c r="A84" s="2" t="s">
        <v>31</v>
      </c>
      <c r="B84" s="2">
        <v>0.65100000000000002</v>
      </c>
      <c r="D84" s="3" t="s">
        <v>102</v>
      </c>
      <c r="E84" s="2">
        <f>MIN(B:B)</f>
        <v>0.57199999999999995</v>
      </c>
      <c r="G84" s="2"/>
      <c r="H84" s="3" t="s">
        <v>105</v>
      </c>
      <c r="I84" s="3" t="s">
        <v>106</v>
      </c>
      <c r="J84" s="3" t="s">
        <v>107</v>
      </c>
    </row>
    <row r="85" spans="1:10" x14ac:dyDescent="0.25">
      <c r="A85" s="2" t="s">
        <v>74</v>
      </c>
      <c r="B85" s="2"/>
      <c r="D85" s="3" t="s">
        <v>103</v>
      </c>
      <c r="E85" s="2">
        <f>MAX(B:B)</f>
        <v>0.73799999999999999</v>
      </c>
      <c r="G85" s="2" t="s">
        <v>30</v>
      </c>
      <c r="H85" s="2">
        <f ca="1">SUMIF($A:$B,G85,$B:$B)</f>
        <v>32.646000000000001</v>
      </c>
      <c r="I85" s="2">
        <f>COUNTIF($A:$A,G85)</f>
        <v>50</v>
      </c>
      <c r="J85" s="2">
        <f ca="1">H85/I85</f>
        <v>0.65292000000000006</v>
      </c>
    </row>
    <row r="86" spans="1:10" x14ac:dyDescent="0.25">
      <c r="A86" s="2" t="s">
        <v>30</v>
      </c>
      <c r="B86" s="2">
        <v>0.64200000000000002</v>
      </c>
      <c r="D86" s="3" t="s">
        <v>104</v>
      </c>
      <c r="E86" s="2">
        <f>_xlfn.STDEV.P(B:B)</f>
        <v>3.2584906607413526E-2</v>
      </c>
      <c r="G86" s="2" t="s">
        <v>31</v>
      </c>
      <c r="H86" s="2">
        <f ca="1">SUMIF($A:$B,G86,$B:$B)</f>
        <v>33.073</v>
      </c>
      <c r="I86" s="2">
        <f>COUNTIF($A:$A,G86)</f>
        <v>50</v>
      </c>
      <c r="J86" s="2">
        <f ca="1">H86/I86</f>
        <v>0.66146000000000005</v>
      </c>
    </row>
    <row r="87" spans="1:10" x14ac:dyDescent="0.25">
      <c r="A87" s="2" t="s">
        <v>31</v>
      </c>
      <c r="B87" s="2">
        <v>0.66400000000000003</v>
      </c>
    </row>
    <row r="88" spans="1:10" x14ac:dyDescent="0.25">
      <c r="A88" s="2" t="s">
        <v>75</v>
      </c>
      <c r="B88" s="2"/>
    </row>
    <row r="89" spans="1:10" x14ac:dyDescent="0.25">
      <c r="A89" s="2" t="s">
        <v>30</v>
      </c>
      <c r="B89" s="2">
        <v>0.64800000000000002</v>
      </c>
    </row>
    <row r="90" spans="1:10" x14ac:dyDescent="0.25">
      <c r="A90" s="2" t="s">
        <v>31</v>
      </c>
      <c r="B90" s="2">
        <v>0.65700000000000003</v>
      </c>
    </row>
    <row r="91" spans="1:10" x14ac:dyDescent="0.25">
      <c r="A91" s="2" t="s">
        <v>46</v>
      </c>
      <c r="B91" s="2"/>
    </row>
    <row r="92" spans="1:10" x14ac:dyDescent="0.25">
      <c r="A92" s="2" t="s">
        <v>30</v>
      </c>
      <c r="B92" s="2">
        <v>0.65</v>
      </c>
    </row>
    <row r="93" spans="1:10" x14ac:dyDescent="0.25">
      <c r="A93" s="2" t="s">
        <v>31</v>
      </c>
      <c r="B93" s="2">
        <v>0.65300000000000002</v>
      </c>
    </row>
    <row r="94" spans="1:10" x14ac:dyDescent="0.25">
      <c r="A94" s="2" t="s">
        <v>58</v>
      </c>
      <c r="B94" s="2"/>
    </row>
    <row r="95" spans="1:10" x14ac:dyDescent="0.25">
      <c r="A95" s="2" t="s">
        <v>30</v>
      </c>
      <c r="B95" s="2">
        <v>0.65500000000000003</v>
      </c>
    </row>
    <row r="96" spans="1:10" x14ac:dyDescent="0.25">
      <c r="A96" s="2" t="s">
        <v>31</v>
      </c>
      <c r="B96" s="2">
        <v>0.66400000000000003</v>
      </c>
    </row>
    <row r="97" spans="1:2" x14ac:dyDescent="0.25">
      <c r="A97" s="2" t="s">
        <v>59</v>
      </c>
      <c r="B97" s="2"/>
    </row>
    <row r="98" spans="1:2" x14ac:dyDescent="0.25">
      <c r="A98" s="2" t="s">
        <v>30</v>
      </c>
      <c r="B98" s="2">
        <v>0.66</v>
      </c>
    </row>
    <row r="99" spans="1:2" x14ac:dyDescent="0.25">
      <c r="A99" s="2" t="s">
        <v>31</v>
      </c>
      <c r="B99" s="2">
        <v>0.67</v>
      </c>
    </row>
    <row r="100" spans="1:2" x14ac:dyDescent="0.25">
      <c r="A100" s="2" t="s">
        <v>87</v>
      </c>
      <c r="B100" s="2"/>
    </row>
    <row r="101" spans="1:2" x14ac:dyDescent="0.25">
      <c r="A101" s="2" t="s">
        <v>30</v>
      </c>
      <c r="B101" s="2">
        <v>0.67700000000000005</v>
      </c>
    </row>
    <row r="102" spans="1:2" x14ac:dyDescent="0.25">
      <c r="A102" s="2" t="s">
        <v>31</v>
      </c>
      <c r="B102" s="2">
        <v>0.68400000000000005</v>
      </c>
    </row>
    <row r="103" spans="1:2" x14ac:dyDescent="0.25">
      <c r="A103" s="2" t="s">
        <v>60</v>
      </c>
      <c r="B103" s="2"/>
    </row>
    <row r="104" spans="1:2" x14ac:dyDescent="0.25">
      <c r="A104" s="2" t="s">
        <v>30</v>
      </c>
      <c r="B104" s="2">
        <v>0.67</v>
      </c>
    </row>
    <row r="105" spans="1:2" x14ac:dyDescent="0.25">
      <c r="A105" s="2" t="s">
        <v>31</v>
      </c>
      <c r="B105" s="2">
        <v>0.67200000000000004</v>
      </c>
    </row>
    <row r="106" spans="1:2" x14ac:dyDescent="0.25">
      <c r="A106" s="2" t="s">
        <v>22</v>
      </c>
      <c r="B106" s="2"/>
    </row>
    <row r="107" spans="1:2" x14ac:dyDescent="0.25">
      <c r="A107" s="2" t="s">
        <v>30</v>
      </c>
      <c r="B107" s="2">
        <v>0.63600000000000001</v>
      </c>
    </row>
    <row r="108" spans="1:2" x14ac:dyDescent="0.25">
      <c r="A108" s="2" t="s">
        <v>31</v>
      </c>
      <c r="B108" s="2">
        <v>0.64</v>
      </c>
    </row>
    <row r="109" spans="1:2" x14ac:dyDescent="0.25">
      <c r="A109" s="2" t="s">
        <v>77</v>
      </c>
      <c r="B109" s="2"/>
    </row>
    <row r="110" spans="1:2" x14ac:dyDescent="0.25">
      <c r="A110" s="2" t="s">
        <v>30</v>
      </c>
      <c r="B110" s="2">
        <v>0.66200000000000003</v>
      </c>
    </row>
    <row r="111" spans="1:2" x14ac:dyDescent="0.25">
      <c r="A111" s="2" t="s">
        <v>31</v>
      </c>
      <c r="B111" s="2">
        <v>0.67500000000000004</v>
      </c>
    </row>
    <row r="112" spans="1:2" x14ac:dyDescent="0.25">
      <c r="A112" s="2" t="s">
        <v>88</v>
      </c>
      <c r="B112" s="2"/>
    </row>
    <row r="113" spans="1:2" x14ac:dyDescent="0.25">
      <c r="A113" s="2" t="s">
        <v>30</v>
      </c>
      <c r="B113" s="2">
        <v>0.65</v>
      </c>
    </row>
    <row r="114" spans="1:2" x14ac:dyDescent="0.25">
      <c r="A114" s="2" t="s">
        <v>31</v>
      </c>
      <c r="B114" s="2">
        <v>0.65400000000000003</v>
      </c>
    </row>
    <row r="115" spans="1:2" x14ac:dyDescent="0.25">
      <c r="A115" s="2" t="s">
        <v>78</v>
      </c>
      <c r="B115" s="2"/>
    </row>
    <row r="116" spans="1:2" x14ac:dyDescent="0.25">
      <c r="A116" s="2" t="s">
        <v>30</v>
      </c>
      <c r="B116" s="2">
        <v>0.71199999999999997</v>
      </c>
    </row>
    <row r="117" spans="1:2" x14ac:dyDescent="0.25">
      <c r="A117" s="2" t="s">
        <v>31</v>
      </c>
      <c r="B117" s="2">
        <v>0.71599999999999997</v>
      </c>
    </row>
    <row r="118" spans="1:2" x14ac:dyDescent="0.25">
      <c r="A118" s="2" t="s">
        <v>79</v>
      </c>
      <c r="B118" s="2"/>
    </row>
    <row r="119" spans="1:2" x14ac:dyDescent="0.25">
      <c r="A119" s="2" t="s">
        <v>30</v>
      </c>
      <c r="B119" s="2">
        <v>0.66500000000000004</v>
      </c>
    </row>
    <row r="120" spans="1:2" x14ac:dyDescent="0.25">
      <c r="A120" s="2" t="s">
        <v>31</v>
      </c>
      <c r="B120" s="2">
        <v>0.67</v>
      </c>
    </row>
    <row r="121" spans="1:2" x14ac:dyDescent="0.25">
      <c r="A121" s="2" t="s">
        <v>80</v>
      </c>
      <c r="B121" s="2"/>
    </row>
    <row r="122" spans="1:2" x14ac:dyDescent="0.25">
      <c r="A122" s="2" t="s">
        <v>30</v>
      </c>
      <c r="B122" s="2">
        <v>0.67500000000000004</v>
      </c>
    </row>
    <row r="123" spans="1:2" x14ac:dyDescent="0.25">
      <c r="A123" s="2" t="s">
        <v>31</v>
      </c>
      <c r="B123" s="2">
        <v>0.68</v>
      </c>
    </row>
    <row r="124" spans="1:2" x14ac:dyDescent="0.25">
      <c r="A124" s="2" t="s">
        <v>89</v>
      </c>
      <c r="B124" s="2"/>
    </row>
    <row r="125" spans="1:2" x14ac:dyDescent="0.25">
      <c r="A125" s="2" t="s">
        <v>30</v>
      </c>
      <c r="B125" s="2">
        <v>0.57199999999999995</v>
      </c>
    </row>
    <row r="126" spans="1:2" x14ac:dyDescent="0.25">
      <c r="A126" s="2" t="s">
        <v>31</v>
      </c>
      <c r="B126" s="2">
        <v>0.57199999999999995</v>
      </c>
    </row>
    <row r="127" spans="1:2" x14ac:dyDescent="0.25">
      <c r="A127" s="2" t="s">
        <v>49</v>
      </c>
      <c r="B127" s="2"/>
    </row>
    <row r="128" spans="1:2" x14ac:dyDescent="0.25">
      <c r="A128" s="2" t="s">
        <v>30</v>
      </c>
      <c r="B128" s="2">
        <v>0.63800000000000001</v>
      </c>
    </row>
    <row r="129" spans="1:2" x14ac:dyDescent="0.25">
      <c r="A129" s="2" t="s">
        <v>31</v>
      </c>
      <c r="B129" s="2">
        <v>0.65</v>
      </c>
    </row>
    <row r="130" spans="1:2" x14ac:dyDescent="0.25">
      <c r="A130" s="2" t="s">
        <v>90</v>
      </c>
      <c r="B130" s="2"/>
    </row>
    <row r="131" spans="1:2" x14ac:dyDescent="0.25">
      <c r="A131" s="2" t="s">
        <v>30</v>
      </c>
      <c r="B131" s="2">
        <v>0.64200000000000002</v>
      </c>
    </row>
    <row r="132" spans="1:2" x14ac:dyDescent="0.25">
      <c r="A132" s="2" t="s">
        <v>31</v>
      </c>
      <c r="B132" s="2">
        <v>0.65300000000000002</v>
      </c>
    </row>
    <row r="133" spans="1:2" x14ac:dyDescent="0.25">
      <c r="A133" s="2" t="s">
        <v>62</v>
      </c>
      <c r="B133" s="2"/>
    </row>
    <row r="134" spans="1:2" x14ac:dyDescent="0.25">
      <c r="A134" s="2" t="s">
        <v>30</v>
      </c>
      <c r="B134" s="2">
        <v>0.69899999999999995</v>
      </c>
    </row>
    <row r="135" spans="1:2" x14ac:dyDescent="0.25">
      <c r="A135" s="2" t="s">
        <v>31</v>
      </c>
      <c r="B135" s="2">
        <v>0.70199999999999996</v>
      </c>
    </row>
    <row r="136" spans="1:2" x14ac:dyDescent="0.25">
      <c r="A136" s="2" t="s">
        <v>91</v>
      </c>
      <c r="B136" s="2"/>
    </row>
    <row r="137" spans="1:2" x14ac:dyDescent="0.25">
      <c r="A137" s="2" t="s">
        <v>30</v>
      </c>
      <c r="B137" s="2">
        <v>0.61099999999999999</v>
      </c>
    </row>
    <row r="138" spans="1:2" x14ac:dyDescent="0.25">
      <c r="A138" s="2" t="s">
        <v>31</v>
      </c>
      <c r="B138" s="2">
        <v>0.62</v>
      </c>
    </row>
    <row r="139" spans="1:2" x14ac:dyDescent="0.25">
      <c r="A139" s="2" t="s">
        <v>64</v>
      </c>
      <c r="B139" s="2"/>
    </row>
    <row r="140" spans="1:2" x14ac:dyDescent="0.25">
      <c r="A140" s="2" t="s">
        <v>30</v>
      </c>
      <c r="B140" s="2">
        <v>0.69299999999999995</v>
      </c>
    </row>
    <row r="141" spans="1:2" x14ac:dyDescent="0.25">
      <c r="A141" s="2" t="s">
        <v>31</v>
      </c>
      <c r="B141" s="2">
        <v>0.70299999999999996</v>
      </c>
    </row>
    <row r="142" spans="1:2" x14ac:dyDescent="0.25">
      <c r="A142" s="2" t="s">
        <v>29</v>
      </c>
      <c r="B142" s="2"/>
    </row>
    <row r="143" spans="1:2" x14ac:dyDescent="0.25">
      <c r="A143" s="2" t="s">
        <v>30</v>
      </c>
      <c r="B143" s="2">
        <v>0.68799999999999994</v>
      </c>
    </row>
    <row r="144" spans="1:2" x14ac:dyDescent="0.25">
      <c r="A144" s="2" t="s">
        <v>31</v>
      </c>
      <c r="B144" s="2">
        <v>0.69499999999999995</v>
      </c>
    </row>
    <row r="145" spans="1:2" x14ac:dyDescent="0.25">
      <c r="A145" s="2" t="s">
        <v>50</v>
      </c>
      <c r="B145" s="2"/>
    </row>
    <row r="146" spans="1:2" x14ac:dyDescent="0.25">
      <c r="A146" s="2" t="s">
        <v>30</v>
      </c>
      <c r="B146" s="2">
        <v>0.64</v>
      </c>
    </row>
    <row r="147" spans="1:2" x14ac:dyDescent="0.25">
      <c r="A147" s="2" t="s">
        <v>31</v>
      </c>
      <c r="B147" s="2">
        <v>0.66</v>
      </c>
    </row>
    <row r="148" spans="1:2" x14ac:dyDescent="0.25">
      <c r="A148" s="2" t="s">
        <v>92</v>
      </c>
      <c r="B148" s="2"/>
    </row>
    <row r="149" spans="1:2" x14ac:dyDescent="0.25">
      <c r="A149" s="2" t="s">
        <v>30</v>
      </c>
      <c r="B149" s="2">
        <v>0.627</v>
      </c>
    </row>
    <row r="150" spans="1:2" x14ac:dyDescent="0.25">
      <c r="A150" s="2" t="s">
        <v>31</v>
      </c>
      <c r="B150" s="2">
        <v>0.63400000000000001</v>
      </c>
    </row>
    <row r="151" spans="1:2" x14ac:dyDescent="0.25">
      <c r="B151" s="1">
        <f>AVERAGE(B1:B150)</f>
        <v>0.65719000000000005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03729-68DC-4864-9411-E53A8DFEA88D}">
  <sheetPr codeName="Sayfa8"/>
  <dimension ref="A1:J147"/>
  <sheetViews>
    <sheetView zoomScale="115" zoomScaleNormal="115" workbookViewId="0">
      <selection activeCell="D1" sqref="D1:J4"/>
    </sheetView>
  </sheetViews>
  <sheetFormatPr defaultRowHeight="15" x14ac:dyDescent="0.25"/>
  <cols>
    <col min="1" max="1" width="36.85546875" bestFit="1" customWidth="1"/>
    <col min="4" max="4" width="15.42578125" bestFit="1" customWidth="1"/>
    <col min="5" max="5" width="12" bestFit="1" customWidth="1"/>
    <col min="7" max="7" width="19.5703125" bestFit="1" customWidth="1"/>
  </cols>
  <sheetData>
    <row r="1" spans="1:10" x14ac:dyDescent="0.25">
      <c r="A1" s="2" t="s">
        <v>32</v>
      </c>
      <c r="B1" s="2"/>
      <c r="D1" s="3" t="s">
        <v>101</v>
      </c>
      <c r="E1" s="2">
        <f>AVERAGE(B:B)</f>
        <v>0.69454081632653064</v>
      </c>
      <c r="G1" s="2"/>
      <c r="H1" s="2"/>
      <c r="I1" s="2"/>
      <c r="J1" s="2"/>
    </row>
    <row r="2" spans="1:10" x14ac:dyDescent="0.25">
      <c r="A2" s="2" t="s">
        <v>30</v>
      </c>
      <c r="B2" s="2">
        <v>0.67800000000000005</v>
      </c>
      <c r="D2" s="3" t="s">
        <v>102</v>
      </c>
      <c r="E2" s="2">
        <f>MIN(B:B)</f>
        <v>0.628</v>
      </c>
      <c r="G2" s="2"/>
      <c r="H2" s="3" t="s">
        <v>105</v>
      </c>
      <c r="I2" s="3" t="s">
        <v>106</v>
      </c>
      <c r="J2" s="3" t="s">
        <v>107</v>
      </c>
    </row>
    <row r="3" spans="1:10" x14ac:dyDescent="0.25">
      <c r="A3" s="2" t="s">
        <v>31</v>
      </c>
      <c r="B3" s="2">
        <v>0.67900000000000005</v>
      </c>
      <c r="D3" s="3" t="s">
        <v>103</v>
      </c>
      <c r="E3" s="2">
        <f>MAX(B:B)</f>
        <v>0.751</v>
      </c>
      <c r="G3" s="2" t="s">
        <v>30</v>
      </c>
      <c r="H3" s="2">
        <f ca="1">SUMIF($A:$B,G3,$B:$B)</f>
        <v>33.835999999999999</v>
      </c>
      <c r="I3" s="2">
        <f>COUNTIF($A:$A,G3)</f>
        <v>49</v>
      </c>
      <c r="J3" s="2">
        <f ca="1">H3/I3</f>
        <v>0.69053061224489798</v>
      </c>
    </row>
    <row r="4" spans="1:10" x14ac:dyDescent="0.25">
      <c r="A4" s="2" t="s">
        <v>33</v>
      </c>
      <c r="B4" s="2"/>
      <c r="D4" s="3" t="s">
        <v>104</v>
      </c>
      <c r="E4" s="2">
        <f>_xlfn.STDEV.P(B:B)</f>
        <v>2.8641759283322903E-2</v>
      </c>
      <c r="G4" s="2" t="s">
        <v>31</v>
      </c>
      <c r="H4" s="2">
        <f ca="1">SUMIF($A:$B,G4,$B:$B)</f>
        <v>34.229000000000006</v>
      </c>
      <c r="I4" s="2">
        <f>COUNTIF($A:$A,G4)</f>
        <v>49</v>
      </c>
      <c r="J4" s="2">
        <f ca="1">H4/I4</f>
        <v>0.69855102040816341</v>
      </c>
    </row>
    <row r="5" spans="1:10" x14ac:dyDescent="0.25">
      <c r="A5" s="2" t="s">
        <v>30</v>
      </c>
      <c r="B5" s="2">
        <v>0.70599999999999996</v>
      </c>
    </row>
    <row r="6" spans="1:10" x14ac:dyDescent="0.25">
      <c r="A6" s="2" t="s">
        <v>31</v>
      </c>
      <c r="B6" s="2">
        <v>0.71</v>
      </c>
    </row>
    <row r="7" spans="1:10" x14ac:dyDescent="0.25">
      <c r="A7" s="2" t="s">
        <v>1</v>
      </c>
      <c r="B7" s="2"/>
    </row>
    <row r="8" spans="1:10" x14ac:dyDescent="0.25">
      <c r="A8" s="2" t="s">
        <v>30</v>
      </c>
      <c r="B8" s="2">
        <v>0.72099999999999997</v>
      </c>
    </row>
    <row r="9" spans="1:10" x14ac:dyDescent="0.25">
      <c r="A9" s="2" t="s">
        <v>31</v>
      </c>
      <c r="B9" s="2">
        <v>0.72799999999999998</v>
      </c>
    </row>
    <row r="10" spans="1:10" x14ac:dyDescent="0.25">
      <c r="A10" s="2" t="s">
        <v>34</v>
      </c>
      <c r="B10" s="2"/>
    </row>
    <row r="11" spans="1:10" x14ac:dyDescent="0.25">
      <c r="A11" s="2" t="s">
        <v>30</v>
      </c>
      <c r="B11" s="2">
        <v>0.73799999999999999</v>
      </c>
    </row>
    <row r="12" spans="1:10" x14ac:dyDescent="0.25">
      <c r="A12" s="2" t="s">
        <v>31</v>
      </c>
      <c r="B12" s="2">
        <v>0.749</v>
      </c>
    </row>
    <row r="13" spans="1:10" x14ac:dyDescent="0.25">
      <c r="A13" s="2" t="s">
        <v>93</v>
      </c>
      <c r="B13" s="2"/>
    </row>
    <row r="14" spans="1:10" x14ac:dyDescent="0.25">
      <c r="A14" s="2" t="s">
        <v>30</v>
      </c>
      <c r="B14" s="2">
        <v>0.70399999999999996</v>
      </c>
    </row>
    <row r="15" spans="1:10" x14ac:dyDescent="0.25">
      <c r="A15" s="2" t="s">
        <v>31</v>
      </c>
      <c r="B15" s="2">
        <v>0.70899999999999996</v>
      </c>
    </row>
    <row r="16" spans="1:10" x14ac:dyDescent="0.25">
      <c r="A16" s="2" t="s">
        <v>2</v>
      </c>
      <c r="B16" s="2"/>
    </row>
    <row r="17" spans="1:2" x14ac:dyDescent="0.25">
      <c r="A17" s="2" t="s">
        <v>30</v>
      </c>
      <c r="B17" s="2">
        <v>0.63500000000000001</v>
      </c>
    </row>
    <row r="18" spans="1:2" x14ac:dyDescent="0.25">
      <c r="A18" s="2" t="s">
        <v>31</v>
      </c>
      <c r="B18" s="2">
        <v>0.64900000000000002</v>
      </c>
    </row>
    <row r="19" spans="1:2" x14ac:dyDescent="0.25">
      <c r="A19" s="2" t="s">
        <v>83</v>
      </c>
      <c r="B19" s="2"/>
    </row>
    <row r="20" spans="1:2" x14ac:dyDescent="0.25">
      <c r="A20" s="2" t="s">
        <v>30</v>
      </c>
      <c r="B20" s="2">
        <v>0.70899999999999996</v>
      </c>
    </row>
    <row r="21" spans="1:2" x14ac:dyDescent="0.25">
      <c r="A21" s="2" t="s">
        <v>31</v>
      </c>
      <c r="B21" s="2">
        <v>0.70899999999999996</v>
      </c>
    </row>
    <row r="22" spans="1:2" x14ac:dyDescent="0.25">
      <c r="A22" s="2" t="s">
        <v>94</v>
      </c>
      <c r="B22" s="2"/>
    </row>
    <row r="23" spans="1:2" x14ac:dyDescent="0.25">
      <c r="A23" s="2" t="s">
        <v>30</v>
      </c>
      <c r="B23" s="2">
        <v>0.72</v>
      </c>
    </row>
    <row r="24" spans="1:2" x14ac:dyDescent="0.25">
      <c r="A24" s="2" t="s">
        <v>31</v>
      </c>
      <c r="B24" s="2">
        <v>0.73199999999999998</v>
      </c>
    </row>
    <row r="25" spans="1:2" x14ac:dyDescent="0.25">
      <c r="A25" s="2" t="s">
        <v>66</v>
      </c>
      <c r="B25" s="2"/>
    </row>
    <row r="26" spans="1:2" x14ac:dyDescent="0.25">
      <c r="A26" s="2" t="s">
        <v>30</v>
      </c>
      <c r="B26" s="2">
        <v>0.70399999999999996</v>
      </c>
    </row>
    <row r="27" spans="1:2" x14ac:dyDescent="0.25">
      <c r="A27" s="2" t="s">
        <v>31</v>
      </c>
      <c r="B27" s="2">
        <v>0.70899999999999996</v>
      </c>
    </row>
    <row r="28" spans="1:2" x14ac:dyDescent="0.25">
      <c r="A28" s="2" t="s">
        <v>4</v>
      </c>
      <c r="B28" s="2"/>
    </row>
    <row r="29" spans="1:2" x14ac:dyDescent="0.25">
      <c r="A29" s="2" t="s">
        <v>30</v>
      </c>
      <c r="B29" s="2">
        <v>0.67100000000000004</v>
      </c>
    </row>
    <row r="30" spans="1:2" x14ac:dyDescent="0.25">
      <c r="A30" s="2" t="s">
        <v>31</v>
      </c>
      <c r="B30" s="2">
        <v>0.67400000000000004</v>
      </c>
    </row>
    <row r="31" spans="1:2" x14ac:dyDescent="0.25">
      <c r="A31" s="2" t="s">
        <v>6</v>
      </c>
      <c r="B31" s="2"/>
    </row>
    <row r="32" spans="1:2" x14ac:dyDescent="0.25">
      <c r="A32" s="2" t="s">
        <v>30</v>
      </c>
      <c r="B32" s="2">
        <v>0.70799999999999996</v>
      </c>
    </row>
    <row r="33" spans="1:2" x14ac:dyDescent="0.25">
      <c r="A33" s="2" t="s">
        <v>31</v>
      </c>
      <c r="B33" s="2">
        <v>0.71699999999999997</v>
      </c>
    </row>
    <row r="34" spans="1:2" x14ac:dyDescent="0.25">
      <c r="A34" s="2" t="s">
        <v>7</v>
      </c>
      <c r="B34" s="2"/>
    </row>
    <row r="35" spans="1:2" x14ac:dyDescent="0.25">
      <c r="A35" s="2" t="s">
        <v>30</v>
      </c>
      <c r="B35" s="2">
        <v>0.67900000000000005</v>
      </c>
    </row>
    <row r="36" spans="1:2" x14ac:dyDescent="0.25">
      <c r="A36" s="2" t="s">
        <v>31</v>
      </c>
      <c r="B36" s="2">
        <v>0.69599999999999995</v>
      </c>
    </row>
    <row r="37" spans="1:2" x14ac:dyDescent="0.25">
      <c r="A37" s="2" t="s">
        <v>8</v>
      </c>
      <c r="B37" s="2"/>
    </row>
    <row r="38" spans="1:2" x14ac:dyDescent="0.25">
      <c r="A38" s="2" t="s">
        <v>30</v>
      </c>
      <c r="B38" s="2">
        <v>0.67900000000000005</v>
      </c>
    </row>
    <row r="39" spans="1:2" x14ac:dyDescent="0.25">
      <c r="A39" s="2" t="s">
        <v>31</v>
      </c>
      <c r="B39" s="2">
        <v>0.68300000000000005</v>
      </c>
    </row>
    <row r="40" spans="1:2" x14ac:dyDescent="0.25">
      <c r="A40" s="2" t="s">
        <v>9</v>
      </c>
      <c r="B40" s="2"/>
    </row>
    <row r="41" spans="1:2" x14ac:dyDescent="0.25">
      <c r="A41" s="2" t="s">
        <v>30</v>
      </c>
      <c r="B41" s="2">
        <v>0.66600000000000004</v>
      </c>
    </row>
    <row r="42" spans="1:2" x14ac:dyDescent="0.25">
      <c r="A42" s="2" t="s">
        <v>31</v>
      </c>
      <c r="B42" s="2">
        <v>0.69199999999999995</v>
      </c>
    </row>
    <row r="43" spans="1:2" x14ac:dyDescent="0.25">
      <c r="A43" s="2" t="s">
        <v>52</v>
      </c>
      <c r="B43" s="2"/>
    </row>
    <row r="44" spans="1:2" x14ac:dyDescent="0.25">
      <c r="A44" s="2" t="s">
        <v>30</v>
      </c>
      <c r="B44" s="2">
        <v>0.67600000000000005</v>
      </c>
    </row>
    <row r="45" spans="1:2" x14ac:dyDescent="0.25">
      <c r="A45" s="2" t="s">
        <v>31</v>
      </c>
      <c r="B45" s="2">
        <v>0.68200000000000005</v>
      </c>
    </row>
    <row r="46" spans="1:2" x14ac:dyDescent="0.25">
      <c r="A46" s="2" t="s">
        <v>84</v>
      </c>
      <c r="B46" s="2"/>
    </row>
    <row r="47" spans="1:2" x14ac:dyDescent="0.25">
      <c r="A47" s="2" t="s">
        <v>30</v>
      </c>
      <c r="B47" s="2">
        <v>0.65500000000000003</v>
      </c>
    </row>
    <row r="48" spans="1:2" x14ac:dyDescent="0.25">
      <c r="A48" s="2" t="s">
        <v>31</v>
      </c>
      <c r="B48" s="2">
        <v>0.67500000000000004</v>
      </c>
    </row>
    <row r="49" spans="1:2" x14ac:dyDescent="0.25">
      <c r="A49" s="2" t="s">
        <v>11</v>
      </c>
      <c r="B49" s="2"/>
    </row>
    <row r="50" spans="1:2" x14ac:dyDescent="0.25">
      <c r="A50" s="2" t="s">
        <v>30</v>
      </c>
      <c r="B50" s="2">
        <v>0.70199999999999996</v>
      </c>
    </row>
    <row r="51" spans="1:2" x14ac:dyDescent="0.25">
      <c r="A51" s="2" t="s">
        <v>31</v>
      </c>
      <c r="B51" s="2">
        <v>0.71</v>
      </c>
    </row>
    <row r="52" spans="1:2" x14ac:dyDescent="0.25">
      <c r="A52" s="2" t="s">
        <v>37</v>
      </c>
      <c r="B52" s="2"/>
    </row>
    <row r="53" spans="1:2" x14ac:dyDescent="0.25">
      <c r="A53" s="2" t="s">
        <v>30</v>
      </c>
      <c r="B53" s="2">
        <v>0.66</v>
      </c>
    </row>
    <row r="54" spans="1:2" x14ac:dyDescent="0.25">
      <c r="A54" s="2" t="s">
        <v>31</v>
      </c>
      <c r="B54" s="2">
        <v>0.66500000000000004</v>
      </c>
    </row>
    <row r="55" spans="1:2" x14ac:dyDescent="0.25">
      <c r="A55" s="2" t="s">
        <v>95</v>
      </c>
      <c r="B55" s="2"/>
    </row>
    <row r="56" spans="1:2" x14ac:dyDescent="0.25">
      <c r="A56" s="2" t="s">
        <v>30</v>
      </c>
      <c r="B56" s="2">
        <v>0.70299999999999996</v>
      </c>
    </row>
    <row r="57" spans="1:2" x14ac:dyDescent="0.25">
      <c r="A57" s="2" t="s">
        <v>31</v>
      </c>
      <c r="B57" s="2">
        <v>0.70899999999999996</v>
      </c>
    </row>
    <row r="58" spans="1:2" x14ac:dyDescent="0.25">
      <c r="A58" s="2" t="s">
        <v>12</v>
      </c>
      <c r="B58" s="2"/>
    </row>
    <row r="59" spans="1:2" x14ac:dyDescent="0.25">
      <c r="A59" s="2" t="s">
        <v>30</v>
      </c>
      <c r="B59" s="2">
        <v>0.73599999999999999</v>
      </c>
    </row>
    <row r="60" spans="1:2" x14ac:dyDescent="0.25">
      <c r="A60" s="2" t="s">
        <v>31</v>
      </c>
      <c r="B60" s="2">
        <v>0.74199999999999999</v>
      </c>
    </row>
    <row r="61" spans="1:2" x14ac:dyDescent="0.25">
      <c r="A61" s="2" t="s">
        <v>54</v>
      </c>
      <c r="B61" s="2"/>
    </row>
    <row r="62" spans="1:2" x14ac:dyDescent="0.25">
      <c r="A62" s="2" t="s">
        <v>30</v>
      </c>
      <c r="B62" s="2">
        <v>0.65900000000000003</v>
      </c>
    </row>
    <row r="63" spans="1:2" x14ac:dyDescent="0.25">
      <c r="A63" s="2" t="s">
        <v>31</v>
      </c>
      <c r="B63" s="2">
        <v>0.66800000000000004</v>
      </c>
    </row>
    <row r="64" spans="1:2" x14ac:dyDescent="0.25">
      <c r="A64" s="2" t="s">
        <v>55</v>
      </c>
      <c r="B64" s="2"/>
    </row>
    <row r="65" spans="1:2" x14ac:dyDescent="0.25">
      <c r="A65" s="2" t="s">
        <v>30</v>
      </c>
      <c r="B65" s="2">
        <v>0.64800000000000002</v>
      </c>
    </row>
    <row r="66" spans="1:2" x14ac:dyDescent="0.25">
      <c r="A66" s="2" t="s">
        <v>31</v>
      </c>
      <c r="B66" s="2">
        <v>0.65500000000000003</v>
      </c>
    </row>
    <row r="67" spans="1:2" x14ac:dyDescent="0.25">
      <c r="A67" s="2" t="s">
        <v>86</v>
      </c>
      <c r="B67" s="2"/>
    </row>
    <row r="68" spans="1:2" x14ac:dyDescent="0.25">
      <c r="A68" s="2" t="s">
        <v>30</v>
      </c>
      <c r="B68" s="2">
        <v>0.71</v>
      </c>
    </row>
    <row r="69" spans="1:2" x14ac:dyDescent="0.25">
      <c r="A69" s="2" t="s">
        <v>31</v>
      </c>
      <c r="B69" s="2">
        <v>0.71099999999999997</v>
      </c>
    </row>
    <row r="70" spans="1:2" x14ac:dyDescent="0.25">
      <c r="A70" s="2" t="s">
        <v>56</v>
      </c>
      <c r="B70" s="2"/>
    </row>
    <row r="71" spans="1:2" x14ac:dyDescent="0.25">
      <c r="A71" s="2" t="s">
        <v>30</v>
      </c>
      <c r="B71" s="2">
        <v>0.71299999999999997</v>
      </c>
    </row>
    <row r="72" spans="1:2" x14ac:dyDescent="0.25">
      <c r="A72" s="2" t="s">
        <v>31</v>
      </c>
      <c r="B72" s="2">
        <v>0.71699999999999997</v>
      </c>
    </row>
    <row r="73" spans="1:2" x14ac:dyDescent="0.25">
      <c r="A73" s="2" t="s">
        <v>40</v>
      </c>
      <c r="B73" s="2"/>
    </row>
    <row r="74" spans="1:2" x14ac:dyDescent="0.25">
      <c r="A74" s="2" t="s">
        <v>30</v>
      </c>
      <c r="B74" s="2">
        <v>0.72</v>
      </c>
    </row>
    <row r="75" spans="1:2" x14ac:dyDescent="0.25">
      <c r="A75" s="2" t="s">
        <v>31</v>
      </c>
      <c r="B75" s="2">
        <v>0.72499999999999998</v>
      </c>
    </row>
    <row r="76" spans="1:2" x14ac:dyDescent="0.25">
      <c r="A76" s="2" t="s">
        <v>14</v>
      </c>
      <c r="B76" s="2"/>
    </row>
    <row r="77" spans="1:2" x14ac:dyDescent="0.25">
      <c r="A77" s="2" t="s">
        <v>30</v>
      </c>
      <c r="B77" s="2">
        <v>0.70299999999999996</v>
      </c>
    </row>
    <row r="78" spans="1:2" x14ac:dyDescent="0.25">
      <c r="A78" s="2" t="s">
        <v>31</v>
      </c>
      <c r="B78" s="2">
        <v>0.70699999999999996</v>
      </c>
    </row>
    <row r="79" spans="1:2" x14ac:dyDescent="0.25">
      <c r="A79" s="2" t="s">
        <v>15</v>
      </c>
      <c r="B79" s="2"/>
    </row>
    <row r="80" spans="1:2" x14ac:dyDescent="0.25">
      <c r="A80" s="2" t="s">
        <v>30</v>
      </c>
      <c r="B80" s="2">
        <v>0.69099999999999995</v>
      </c>
    </row>
    <row r="81" spans="1:2" x14ac:dyDescent="0.25">
      <c r="A81" s="2" t="s">
        <v>31</v>
      </c>
      <c r="B81" s="2">
        <v>0.69599999999999995</v>
      </c>
    </row>
    <row r="82" spans="1:2" x14ac:dyDescent="0.25">
      <c r="A82" s="2" t="s">
        <v>72</v>
      </c>
      <c r="B82" s="2"/>
    </row>
    <row r="83" spans="1:2" x14ac:dyDescent="0.25">
      <c r="A83" s="2" t="s">
        <v>30</v>
      </c>
      <c r="B83" s="2">
        <v>0.72099999999999997</v>
      </c>
    </row>
    <row r="84" spans="1:2" x14ac:dyDescent="0.25">
      <c r="A84" s="2" t="s">
        <v>31</v>
      </c>
      <c r="B84" s="2">
        <v>0.72299999999999998</v>
      </c>
    </row>
    <row r="85" spans="1:2" x14ac:dyDescent="0.25">
      <c r="A85" s="2" t="s">
        <v>18</v>
      </c>
      <c r="B85" s="2"/>
    </row>
    <row r="86" spans="1:2" x14ac:dyDescent="0.25">
      <c r="A86" s="2" t="s">
        <v>30</v>
      </c>
      <c r="B86" s="2">
        <v>0.69699999999999995</v>
      </c>
    </row>
    <row r="87" spans="1:2" x14ac:dyDescent="0.25">
      <c r="A87" s="2" t="s">
        <v>31</v>
      </c>
      <c r="B87" s="2">
        <v>0.70799999999999996</v>
      </c>
    </row>
    <row r="88" spans="1:2" x14ac:dyDescent="0.25">
      <c r="A88" s="2" t="s">
        <v>96</v>
      </c>
      <c r="B88" s="2"/>
    </row>
    <row r="89" spans="1:2" x14ac:dyDescent="0.25">
      <c r="A89" s="2" t="s">
        <v>30</v>
      </c>
      <c r="B89" s="2">
        <v>0.70199999999999996</v>
      </c>
    </row>
    <row r="90" spans="1:2" x14ac:dyDescent="0.25">
      <c r="A90" s="2" t="s">
        <v>31</v>
      </c>
      <c r="B90" s="2">
        <v>0.70499999999999996</v>
      </c>
    </row>
    <row r="91" spans="1:2" x14ac:dyDescent="0.25">
      <c r="A91" s="2" t="s">
        <v>73</v>
      </c>
      <c r="B91" s="2"/>
    </row>
    <row r="92" spans="1:2" x14ac:dyDescent="0.25">
      <c r="A92" s="2" t="s">
        <v>30</v>
      </c>
      <c r="B92" s="2">
        <v>0.74399999999999999</v>
      </c>
    </row>
    <row r="93" spans="1:2" x14ac:dyDescent="0.25">
      <c r="A93" s="2" t="s">
        <v>31</v>
      </c>
      <c r="B93" s="2">
        <v>0.751</v>
      </c>
    </row>
    <row r="94" spans="1:2" x14ac:dyDescent="0.25">
      <c r="A94" s="2" t="s">
        <v>19</v>
      </c>
      <c r="B94" s="2"/>
    </row>
    <row r="95" spans="1:2" x14ac:dyDescent="0.25">
      <c r="A95" s="2" t="s">
        <v>30</v>
      </c>
      <c r="B95" s="2">
        <v>0.70699999999999996</v>
      </c>
    </row>
    <row r="96" spans="1:2" x14ac:dyDescent="0.25">
      <c r="A96" s="2" t="s">
        <v>31</v>
      </c>
      <c r="B96" s="2">
        <v>0.71299999999999997</v>
      </c>
    </row>
    <row r="97" spans="1:2" x14ac:dyDescent="0.25">
      <c r="A97" s="2" t="s">
        <v>20</v>
      </c>
      <c r="B97" s="2"/>
    </row>
    <row r="98" spans="1:2" x14ac:dyDescent="0.25">
      <c r="A98" s="2" t="s">
        <v>30</v>
      </c>
      <c r="B98" s="2">
        <v>0.64300000000000002</v>
      </c>
    </row>
    <row r="99" spans="1:2" x14ac:dyDescent="0.25">
      <c r="A99" s="2" t="s">
        <v>31</v>
      </c>
      <c r="B99" s="2">
        <v>0.68</v>
      </c>
    </row>
    <row r="100" spans="1:2" x14ac:dyDescent="0.25">
      <c r="A100" s="2" t="s">
        <v>74</v>
      </c>
      <c r="B100" s="2"/>
    </row>
    <row r="101" spans="1:2" x14ac:dyDescent="0.25">
      <c r="A101" s="2" t="s">
        <v>30</v>
      </c>
      <c r="B101" s="2">
        <v>0.69699999999999995</v>
      </c>
    </row>
    <row r="102" spans="1:2" x14ac:dyDescent="0.25">
      <c r="A102" s="2" t="s">
        <v>31</v>
      </c>
      <c r="B102" s="2">
        <v>0.70699999999999996</v>
      </c>
    </row>
    <row r="103" spans="1:2" x14ac:dyDescent="0.25">
      <c r="A103" s="2" t="s">
        <v>75</v>
      </c>
      <c r="B103" s="2"/>
    </row>
    <row r="104" spans="1:2" x14ac:dyDescent="0.25">
      <c r="A104" s="2" t="s">
        <v>30</v>
      </c>
      <c r="B104" s="2">
        <v>0.65700000000000003</v>
      </c>
    </row>
    <row r="105" spans="1:2" x14ac:dyDescent="0.25">
      <c r="A105" s="2" t="s">
        <v>31</v>
      </c>
      <c r="B105" s="2">
        <v>0.66700000000000004</v>
      </c>
    </row>
    <row r="106" spans="1:2" x14ac:dyDescent="0.25">
      <c r="A106" s="2" t="s">
        <v>58</v>
      </c>
      <c r="B106" s="2"/>
    </row>
    <row r="107" spans="1:2" x14ac:dyDescent="0.25">
      <c r="A107" s="2" t="s">
        <v>30</v>
      </c>
      <c r="B107" s="2">
        <v>0.65800000000000003</v>
      </c>
    </row>
    <row r="108" spans="1:2" x14ac:dyDescent="0.25">
      <c r="A108" s="2" t="s">
        <v>31</v>
      </c>
      <c r="B108" s="2">
        <v>0.66600000000000004</v>
      </c>
    </row>
    <row r="109" spans="1:2" x14ac:dyDescent="0.25">
      <c r="A109" s="2" t="s">
        <v>59</v>
      </c>
      <c r="B109" s="2"/>
    </row>
    <row r="110" spans="1:2" x14ac:dyDescent="0.25">
      <c r="A110" s="2" t="s">
        <v>30</v>
      </c>
      <c r="B110" s="2">
        <v>0.72599999999999998</v>
      </c>
    </row>
    <row r="111" spans="1:2" x14ac:dyDescent="0.25">
      <c r="A111" s="2" t="s">
        <v>31</v>
      </c>
      <c r="B111" s="2">
        <v>0.72799999999999998</v>
      </c>
    </row>
    <row r="112" spans="1:2" x14ac:dyDescent="0.25">
      <c r="A112" s="2" t="s">
        <v>60</v>
      </c>
      <c r="B112" s="2"/>
    </row>
    <row r="113" spans="1:2" x14ac:dyDescent="0.25">
      <c r="A113" s="2" t="s">
        <v>30</v>
      </c>
      <c r="B113" s="2">
        <v>0.72499999999999998</v>
      </c>
    </row>
    <row r="114" spans="1:2" x14ac:dyDescent="0.25">
      <c r="A114" s="2" t="s">
        <v>31</v>
      </c>
      <c r="B114" s="2">
        <v>0.72799999999999998</v>
      </c>
    </row>
    <row r="115" spans="1:2" x14ac:dyDescent="0.25">
      <c r="A115" s="2" t="s">
        <v>22</v>
      </c>
      <c r="B115" s="2"/>
    </row>
    <row r="116" spans="1:2" x14ac:dyDescent="0.25">
      <c r="A116" s="2" t="s">
        <v>30</v>
      </c>
      <c r="B116" s="2">
        <v>0.628</v>
      </c>
    </row>
    <row r="117" spans="1:2" x14ac:dyDescent="0.25">
      <c r="A117" s="2" t="s">
        <v>31</v>
      </c>
      <c r="B117" s="2">
        <v>0.63100000000000001</v>
      </c>
    </row>
    <row r="118" spans="1:2" x14ac:dyDescent="0.25">
      <c r="A118" s="2" t="s">
        <v>77</v>
      </c>
      <c r="B118" s="2"/>
    </row>
    <row r="119" spans="1:2" x14ac:dyDescent="0.25">
      <c r="A119" s="2" t="s">
        <v>30</v>
      </c>
      <c r="B119" s="2">
        <v>0.67900000000000005</v>
      </c>
    </row>
    <row r="120" spans="1:2" x14ac:dyDescent="0.25">
      <c r="A120" s="2" t="s">
        <v>31</v>
      </c>
      <c r="B120" s="2">
        <v>0.68799999999999994</v>
      </c>
    </row>
    <row r="121" spans="1:2" x14ac:dyDescent="0.25">
      <c r="A121" s="2" t="s">
        <v>88</v>
      </c>
      <c r="B121" s="2"/>
    </row>
    <row r="122" spans="1:2" x14ac:dyDescent="0.25">
      <c r="A122" s="2" t="s">
        <v>30</v>
      </c>
      <c r="B122" s="2">
        <v>0.66200000000000003</v>
      </c>
    </row>
    <row r="123" spans="1:2" x14ac:dyDescent="0.25">
      <c r="A123" s="2" t="s">
        <v>31</v>
      </c>
      <c r="B123" s="2">
        <v>0.66600000000000004</v>
      </c>
    </row>
    <row r="124" spans="1:2" x14ac:dyDescent="0.25">
      <c r="A124" s="2" t="s">
        <v>48</v>
      </c>
      <c r="B124" s="2"/>
    </row>
    <row r="125" spans="1:2" x14ac:dyDescent="0.25">
      <c r="A125" s="2" t="s">
        <v>30</v>
      </c>
      <c r="B125" s="2">
        <v>0.67300000000000004</v>
      </c>
    </row>
    <row r="126" spans="1:2" x14ac:dyDescent="0.25">
      <c r="A126" s="2" t="s">
        <v>31</v>
      </c>
      <c r="B126" s="2">
        <v>0.67800000000000005</v>
      </c>
    </row>
    <row r="127" spans="1:2" x14ac:dyDescent="0.25">
      <c r="A127" s="2" t="s">
        <v>61</v>
      </c>
      <c r="B127" s="2"/>
    </row>
    <row r="128" spans="1:2" x14ac:dyDescent="0.25">
      <c r="A128" s="2" t="s">
        <v>30</v>
      </c>
      <c r="B128" s="2">
        <v>0.71299999999999997</v>
      </c>
    </row>
    <row r="129" spans="1:2" x14ac:dyDescent="0.25">
      <c r="A129" s="2" t="s">
        <v>31</v>
      </c>
      <c r="B129" s="2">
        <v>0.71899999999999997</v>
      </c>
    </row>
    <row r="130" spans="1:2" x14ac:dyDescent="0.25">
      <c r="A130" s="2" t="s">
        <v>79</v>
      </c>
      <c r="B130" s="2"/>
    </row>
    <row r="131" spans="1:2" x14ac:dyDescent="0.25">
      <c r="A131" s="2" t="s">
        <v>30</v>
      </c>
      <c r="B131" s="2">
        <v>0.64800000000000002</v>
      </c>
    </row>
    <row r="132" spans="1:2" x14ac:dyDescent="0.25">
      <c r="A132" s="2" t="s">
        <v>31</v>
      </c>
      <c r="B132" s="2">
        <v>0.65</v>
      </c>
    </row>
    <row r="133" spans="1:2" x14ac:dyDescent="0.25">
      <c r="A133" s="2" t="s">
        <v>90</v>
      </c>
      <c r="B133" s="2"/>
    </row>
    <row r="134" spans="1:2" x14ac:dyDescent="0.25">
      <c r="A134" s="2" t="s">
        <v>30</v>
      </c>
      <c r="B134" s="2">
        <v>0.71</v>
      </c>
    </row>
    <row r="135" spans="1:2" x14ac:dyDescent="0.25">
      <c r="A135" s="2" t="s">
        <v>31</v>
      </c>
      <c r="B135" s="2">
        <v>0.73199999999999998</v>
      </c>
    </row>
    <row r="136" spans="1:2" x14ac:dyDescent="0.25">
      <c r="A136" s="2" t="s">
        <v>81</v>
      </c>
      <c r="B136" s="2"/>
    </row>
    <row r="137" spans="1:2" x14ac:dyDescent="0.25">
      <c r="A137" s="2" t="s">
        <v>30</v>
      </c>
      <c r="B137" s="2">
        <v>0.68500000000000005</v>
      </c>
    </row>
    <row r="138" spans="1:2" x14ac:dyDescent="0.25">
      <c r="A138" s="2" t="s">
        <v>31</v>
      </c>
      <c r="B138" s="2">
        <v>0.68600000000000005</v>
      </c>
    </row>
    <row r="139" spans="1:2" x14ac:dyDescent="0.25">
      <c r="A139" s="2" t="s">
        <v>62</v>
      </c>
      <c r="B139" s="2"/>
    </row>
    <row r="140" spans="1:2" x14ac:dyDescent="0.25">
      <c r="A140" s="2" t="s">
        <v>30</v>
      </c>
      <c r="B140" s="2">
        <v>0.68500000000000005</v>
      </c>
    </row>
    <row r="141" spans="1:2" x14ac:dyDescent="0.25">
      <c r="A141" s="2" t="s">
        <v>31</v>
      </c>
      <c r="B141" s="2">
        <v>0.69099999999999995</v>
      </c>
    </row>
    <row r="142" spans="1:2" x14ac:dyDescent="0.25">
      <c r="A142" s="2" t="s">
        <v>97</v>
      </c>
      <c r="B142" s="2"/>
    </row>
    <row r="143" spans="1:2" x14ac:dyDescent="0.25">
      <c r="A143" s="2" t="s">
        <v>30</v>
      </c>
      <c r="B143" s="2">
        <v>0.71899999999999997</v>
      </c>
    </row>
    <row r="144" spans="1:2" x14ac:dyDescent="0.25">
      <c r="A144" s="2" t="s">
        <v>31</v>
      </c>
      <c r="B144" s="2">
        <v>0.748</v>
      </c>
    </row>
    <row r="145" spans="1:2" x14ac:dyDescent="0.25">
      <c r="A145" s="2" t="s">
        <v>98</v>
      </c>
      <c r="B145" s="2"/>
    </row>
    <row r="146" spans="1:2" x14ac:dyDescent="0.25">
      <c r="A146" s="2" t="s">
        <v>30</v>
      </c>
      <c r="B146" s="2">
        <v>0.66300000000000003</v>
      </c>
    </row>
    <row r="147" spans="1:2" x14ac:dyDescent="0.25">
      <c r="A147" s="2" t="s">
        <v>31</v>
      </c>
      <c r="B147" s="2">
        <v>0.66600000000000004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39CAF-D64B-462B-B509-F76678E016D0}">
  <sheetPr codeName="Sayfa9"/>
  <dimension ref="A1:J165"/>
  <sheetViews>
    <sheetView zoomScale="130" zoomScaleNormal="130" workbookViewId="0">
      <selection activeCell="G1" sqref="G1"/>
    </sheetView>
  </sheetViews>
  <sheetFormatPr defaultRowHeight="15" x14ac:dyDescent="0.25"/>
  <cols>
    <col min="1" max="1" width="36.85546875" bestFit="1" customWidth="1"/>
    <col min="4" max="4" width="15.42578125" bestFit="1" customWidth="1"/>
    <col min="5" max="5" width="14.85546875" customWidth="1"/>
    <col min="7" max="7" width="19.42578125" bestFit="1" customWidth="1"/>
  </cols>
  <sheetData>
    <row r="1" spans="1:10" x14ac:dyDescent="0.25">
      <c r="A1" s="2" t="s">
        <v>0</v>
      </c>
      <c r="B1" s="2"/>
      <c r="D1" s="3" t="s">
        <v>101</v>
      </c>
      <c r="E1" s="2">
        <f>AVERAGE(B:B)</f>
        <v>0.72661818181818139</v>
      </c>
      <c r="G1" s="2"/>
      <c r="H1" s="2"/>
      <c r="I1" s="2"/>
      <c r="J1" s="2"/>
    </row>
    <row r="2" spans="1:10" x14ac:dyDescent="0.25">
      <c r="A2" s="2" t="s">
        <v>30</v>
      </c>
      <c r="B2" s="2">
        <v>0.76500000000000001</v>
      </c>
      <c r="D2" s="3" t="s">
        <v>102</v>
      </c>
      <c r="E2" s="2">
        <f>MIN(B:B)</f>
        <v>0.67700000000000005</v>
      </c>
      <c r="G2" s="2"/>
      <c r="H2" s="3" t="s">
        <v>105</v>
      </c>
      <c r="I2" s="3" t="s">
        <v>106</v>
      </c>
      <c r="J2" s="3" t="s">
        <v>107</v>
      </c>
    </row>
    <row r="3" spans="1:10" x14ac:dyDescent="0.25">
      <c r="A3" s="2" t="s">
        <v>31</v>
      </c>
      <c r="B3" s="2">
        <v>0.76600000000000001</v>
      </c>
      <c r="D3" s="3" t="s">
        <v>103</v>
      </c>
      <c r="E3" s="2">
        <f>MAX(B:B)</f>
        <v>0.78900000000000003</v>
      </c>
      <c r="G3" s="2" t="s">
        <v>30</v>
      </c>
      <c r="H3" s="2">
        <f ca="1">SUMIF($A:$B,G3,$B:$B)</f>
        <v>39.776999999999987</v>
      </c>
      <c r="I3" s="2">
        <f>COUNTIF($A:$A,G3)</f>
        <v>55</v>
      </c>
      <c r="J3" s="2">
        <f ca="1">H3/I3</f>
        <v>0.72321818181818154</v>
      </c>
    </row>
    <row r="4" spans="1:10" x14ac:dyDescent="0.25">
      <c r="A4" s="2" t="s">
        <v>82</v>
      </c>
      <c r="B4" s="2"/>
      <c r="D4" s="3" t="s">
        <v>104</v>
      </c>
      <c r="E4" s="2">
        <f>_xlfn.STDEV.P(B:B)</f>
        <v>2.7624752345473808E-2</v>
      </c>
      <c r="G4" s="2" t="s">
        <v>31</v>
      </c>
      <c r="H4" s="2">
        <f ca="1">SUMIF($A:$B,G4,$B:$B)</f>
        <v>40.151000000000018</v>
      </c>
      <c r="I4" s="2">
        <f>COUNTIF($A:$A,G4)</f>
        <v>55</v>
      </c>
      <c r="J4" s="2">
        <f ca="1">H4/I4</f>
        <v>0.73001818181818212</v>
      </c>
    </row>
    <row r="5" spans="1:10" x14ac:dyDescent="0.25">
      <c r="A5" s="2" t="s">
        <v>30</v>
      </c>
      <c r="B5" s="2">
        <v>0.71499999999999997</v>
      </c>
    </row>
    <row r="6" spans="1:10" x14ac:dyDescent="0.25">
      <c r="A6" s="2" t="s">
        <v>31</v>
      </c>
      <c r="B6" s="2">
        <v>0.71799999999999997</v>
      </c>
    </row>
    <row r="7" spans="1:10" x14ac:dyDescent="0.25">
      <c r="A7" s="2" t="s">
        <v>93</v>
      </c>
      <c r="B7" s="2"/>
    </row>
    <row r="8" spans="1:10" x14ac:dyDescent="0.25">
      <c r="A8" s="2" t="s">
        <v>30</v>
      </c>
      <c r="B8" s="2">
        <v>0.73499999999999999</v>
      </c>
    </row>
    <row r="9" spans="1:10" x14ac:dyDescent="0.25">
      <c r="A9" s="2" t="s">
        <v>31</v>
      </c>
      <c r="B9" s="2">
        <v>0.74</v>
      </c>
    </row>
    <row r="10" spans="1:10" x14ac:dyDescent="0.25">
      <c r="A10" s="2" t="s">
        <v>2</v>
      </c>
      <c r="B10" s="2"/>
    </row>
    <row r="11" spans="1:10" x14ac:dyDescent="0.25">
      <c r="A11" s="2" t="s">
        <v>30</v>
      </c>
      <c r="B11" s="2">
        <v>0.67700000000000005</v>
      </c>
    </row>
    <row r="12" spans="1:10" x14ac:dyDescent="0.25">
      <c r="A12" s="2" t="s">
        <v>31</v>
      </c>
      <c r="B12" s="2">
        <v>0.68799999999999994</v>
      </c>
    </row>
    <row r="13" spans="1:10" x14ac:dyDescent="0.25">
      <c r="A13" s="2" t="s">
        <v>83</v>
      </c>
      <c r="B13" s="2"/>
    </row>
    <row r="14" spans="1:10" x14ac:dyDescent="0.25">
      <c r="A14" s="2" t="s">
        <v>30</v>
      </c>
      <c r="B14" s="2">
        <v>0.72</v>
      </c>
    </row>
    <row r="15" spans="1:10" x14ac:dyDescent="0.25">
      <c r="A15" s="2" t="s">
        <v>31</v>
      </c>
      <c r="B15" s="2">
        <v>0.72599999999999998</v>
      </c>
    </row>
    <row r="16" spans="1:10" x14ac:dyDescent="0.25">
      <c r="A16" s="2" t="s">
        <v>94</v>
      </c>
      <c r="B16" s="2"/>
    </row>
    <row r="17" spans="1:2" x14ac:dyDescent="0.25">
      <c r="A17" s="2" t="s">
        <v>30</v>
      </c>
      <c r="B17" s="2">
        <v>0.71899999999999997</v>
      </c>
    </row>
    <row r="18" spans="1:2" x14ac:dyDescent="0.25">
      <c r="A18" s="2" t="s">
        <v>31</v>
      </c>
      <c r="B18" s="2">
        <v>0.72199999999999998</v>
      </c>
    </row>
    <row r="19" spans="1:2" x14ac:dyDescent="0.25">
      <c r="A19" s="2" t="s">
        <v>67</v>
      </c>
      <c r="B19" s="2"/>
    </row>
    <row r="20" spans="1:2" x14ac:dyDescent="0.25">
      <c r="A20" s="2" t="s">
        <v>30</v>
      </c>
      <c r="B20" s="2">
        <v>0.70499999999999996</v>
      </c>
    </row>
    <row r="21" spans="1:2" x14ac:dyDescent="0.25">
      <c r="A21" s="2" t="s">
        <v>31</v>
      </c>
      <c r="B21" s="2">
        <v>0.70599999999999996</v>
      </c>
    </row>
    <row r="22" spans="1:2" x14ac:dyDescent="0.25">
      <c r="A22" s="2" t="s">
        <v>4</v>
      </c>
      <c r="B22" s="2"/>
    </row>
    <row r="23" spans="1:2" x14ac:dyDescent="0.25">
      <c r="A23" s="2" t="s">
        <v>30</v>
      </c>
      <c r="B23" s="2">
        <v>0.69799999999999995</v>
      </c>
    </row>
    <row r="24" spans="1:2" x14ac:dyDescent="0.25">
      <c r="A24" s="2" t="s">
        <v>31</v>
      </c>
      <c r="B24" s="2">
        <v>0.70899999999999996</v>
      </c>
    </row>
    <row r="25" spans="1:2" x14ac:dyDescent="0.25">
      <c r="A25" s="2" t="s">
        <v>35</v>
      </c>
      <c r="B25" s="2"/>
    </row>
    <row r="26" spans="1:2" x14ac:dyDescent="0.25">
      <c r="A26" s="2" t="s">
        <v>30</v>
      </c>
      <c r="B26" s="2">
        <v>0.73499999999999999</v>
      </c>
    </row>
    <row r="27" spans="1:2" x14ac:dyDescent="0.25">
      <c r="A27" s="2" t="s">
        <v>31</v>
      </c>
      <c r="B27" s="2">
        <v>0.74199999999999999</v>
      </c>
    </row>
    <row r="28" spans="1:2" x14ac:dyDescent="0.25">
      <c r="A28" s="2" t="s">
        <v>5</v>
      </c>
      <c r="B28" s="2"/>
    </row>
    <row r="29" spans="1:2" x14ac:dyDescent="0.25">
      <c r="A29" s="2" t="s">
        <v>30</v>
      </c>
      <c r="B29" s="2">
        <v>0.72699999999999998</v>
      </c>
    </row>
    <row r="30" spans="1:2" x14ac:dyDescent="0.25">
      <c r="A30" s="2" t="s">
        <v>31</v>
      </c>
      <c r="B30" s="2">
        <v>0.73899999999999999</v>
      </c>
    </row>
    <row r="31" spans="1:2" x14ac:dyDescent="0.25">
      <c r="A31" s="2" t="s">
        <v>6</v>
      </c>
      <c r="B31" s="2"/>
    </row>
    <row r="32" spans="1:2" x14ac:dyDescent="0.25">
      <c r="A32" s="2" t="s">
        <v>30</v>
      </c>
      <c r="B32" s="2">
        <v>0.76800000000000002</v>
      </c>
    </row>
    <row r="33" spans="1:2" x14ac:dyDescent="0.25">
      <c r="A33" s="2" t="s">
        <v>31</v>
      </c>
      <c r="B33" s="2">
        <v>0.77</v>
      </c>
    </row>
    <row r="34" spans="1:2" x14ac:dyDescent="0.25">
      <c r="A34" s="2" t="s">
        <v>9</v>
      </c>
      <c r="B34" s="2"/>
    </row>
    <row r="35" spans="1:2" x14ac:dyDescent="0.25">
      <c r="A35" s="2" t="s">
        <v>30</v>
      </c>
      <c r="B35" s="2">
        <v>0.73199999999999998</v>
      </c>
    </row>
    <row r="36" spans="1:2" x14ac:dyDescent="0.25">
      <c r="A36" s="2" t="s">
        <v>31</v>
      </c>
      <c r="B36" s="2">
        <v>0.75600000000000001</v>
      </c>
    </row>
    <row r="37" spans="1:2" x14ac:dyDescent="0.25">
      <c r="A37" s="2" t="s">
        <v>10</v>
      </c>
      <c r="B37" s="2"/>
    </row>
    <row r="38" spans="1:2" x14ac:dyDescent="0.25">
      <c r="A38" s="2" t="s">
        <v>30</v>
      </c>
      <c r="B38" s="2">
        <v>0.68500000000000005</v>
      </c>
    </row>
    <row r="39" spans="1:2" x14ac:dyDescent="0.25">
      <c r="A39" s="2" t="s">
        <v>31</v>
      </c>
      <c r="B39" s="2">
        <v>0.69099999999999995</v>
      </c>
    </row>
    <row r="40" spans="1:2" x14ac:dyDescent="0.25">
      <c r="A40" s="2" t="s">
        <v>84</v>
      </c>
      <c r="B40" s="2"/>
    </row>
    <row r="41" spans="1:2" x14ac:dyDescent="0.25">
      <c r="A41" s="2" t="s">
        <v>30</v>
      </c>
      <c r="B41" s="2">
        <v>0.68500000000000005</v>
      </c>
    </row>
    <row r="42" spans="1:2" x14ac:dyDescent="0.25">
      <c r="A42" s="2" t="s">
        <v>31</v>
      </c>
      <c r="B42" s="2">
        <v>0.68500000000000005</v>
      </c>
    </row>
    <row r="43" spans="1:2" x14ac:dyDescent="0.25">
      <c r="A43" s="2" t="s">
        <v>85</v>
      </c>
      <c r="B43" s="2"/>
    </row>
    <row r="44" spans="1:2" x14ac:dyDescent="0.25">
      <c r="A44" s="2" t="s">
        <v>30</v>
      </c>
      <c r="B44" s="2">
        <v>0.73</v>
      </c>
    </row>
    <row r="45" spans="1:2" x14ac:dyDescent="0.25">
      <c r="A45" s="2" t="s">
        <v>31</v>
      </c>
      <c r="B45" s="2">
        <v>0.74</v>
      </c>
    </row>
    <row r="46" spans="1:2" x14ac:dyDescent="0.25">
      <c r="A46" s="2" t="s">
        <v>38</v>
      </c>
      <c r="B46" s="2"/>
    </row>
    <row r="47" spans="1:2" x14ac:dyDescent="0.25">
      <c r="A47" s="2" t="s">
        <v>30</v>
      </c>
      <c r="B47" s="2">
        <v>0.69699999999999995</v>
      </c>
    </row>
    <row r="48" spans="1:2" x14ac:dyDescent="0.25">
      <c r="A48" s="2" t="s">
        <v>31</v>
      </c>
      <c r="B48" s="2">
        <v>0.69899999999999995</v>
      </c>
    </row>
    <row r="49" spans="1:2" x14ac:dyDescent="0.25">
      <c r="A49" s="2" t="s">
        <v>71</v>
      </c>
      <c r="B49" s="2"/>
    </row>
    <row r="50" spans="1:2" x14ac:dyDescent="0.25">
      <c r="A50" s="2" t="s">
        <v>30</v>
      </c>
      <c r="B50" s="2">
        <v>0.72</v>
      </c>
    </row>
    <row r="51" spans="1:2" x14ac:dyDescent="0.25">
      <c r="A51" s="2" t="s">
        <v>31</v>
      </c>
      <c r="B51" s="2">
        <v>0.72599999999999998</v>
      </c>
    </row>
    <row r="52" spans="1:2" x14ac:dyDescent="0.25">
      <c r="A52" s="2" t="s">
        <v>53</v>
      </c>
      <c r="B52" s="2"/>
    </row>
    <row r="53" spans="1:2" x14ac:dyDescent="0.25">
      <c r="A53" s="2" t="s">
        <v>30</v>
      </c>
      <c r="B53" s="2">
        <v>0.73099999999999998</v>
      </c>
    </row>
    <row r="54" spans="1:2" x14ac:dyDescent="0.25">
      <c r="A54" s="2" t="s">
        <v>31</v>
      </c>
      <c r="B54" s="2">
        <v>0.73399999999999999</v>
      </c>
    </row>
    <row r="55" spans="1:2" x14ac:dyDescent="0.25">
      <c r="A55" s="2" t="s">
        <v>99</v>
      </c>
      <c r="B55" s="2"/>
    </row>
    <row r="56" spans="1:2" x14ac:dyDescent="0.25">
      <c r="A56" s="2" t="s">
        <v>30</v>
      </c>
      <c r="B56" s="2">
        <v>0.68799999999999994</v>
      </c>
    </row>
    <row r="57" spans="1:2" x14ac:dyDescent="0.25">
      <c r="A57" s="2" t="s">
        <v>31</v>
      </c>
      <c r="B57" s="2">
        <v>0.69499999999999995</v>
      </c>
    </row>
    <row r="58" spans="1:2" x14ac:dyDescent="0.25">
      <c r="A58" s="2" t="s">
        <v>95</v>
      </c>
      <c r="B58" s="2"/>
    </row>
    <row r="59" spans="1:2" x14ac:dyDescent="0.25">
      <c r="A59" s="2" t="s">
        <v>30</v>
      </c>
      <c r="B59" s="2">
        <v>0.72599999999999998</v>
      </c>
    </row>
    <row r="60" spans="1:2" x14ac:dyDescent="0.25">
      <c r="A60" s="2" t="s">
        <v>31</v>
      </c>
      <c r="B60" s="2">
        <v>0.73399999999999999</v>
      </c>
    </row>
    <row r="61" spans="1:2" x14ac:dyDescent="0.25">
      <c r="A61" s="2" t="s">
        <v>12</v>
      </c>
      <c r="B61" s="2"/>
    </row>
    <row r="62" spans="1:2" x14ac:dyDescent="0.25">
      <c r="A62" s="2" t="s">
        <v>30</v>
      </c>
      <c r="B62" s="2">
        <v>0.78300000000000003</v>
      </c>
    </row>
    <row r="63" spans="1:2" x14ac:dyDescent="0.25">
      <c r="A63" s="2" t="s">
        <v>31</v>
      </c>
      <c r="B63" s="2">
        <v>0.78900000000000003</v>
      </c>
    </row>
    <row r="64" spans="1:2" x14ac:dyDescent="0.25">
      <c r="A64" s="2" t="s">
        <v>13</v>
      </c>
      <c r="B64" s="2"/>
    </row>
    <row r="65" spans="1:2" x14ac:dyDescent="0.25">
      <c r="A65" s="2" t="s">
        <v>30</v>
      </c>
      <c r="B65" s="2">
        <v>0.73199999999999998</v>
      </c>
    </row>
    <row r="66" spans="1:2" x14ac:dyDescent="0.25">
      <c r="A66" s="2" t="s">
        <v>31</v>
      </c>
      <c r="B66" s="2">
        <v>0.73499999999999999</v>
      </c>
    </row>
    <row r="67" spans="1:2" x14ac:dyDescent="0.25">
      <c r="A67" s="2" t="s">
        <v>54</v>
      </c>
      <c r="B67" s="2"/>
    </row>
    <row r="68" spans="1:2" x14ac:dyDescent="0.25">
      <c r="A68" s="2" t="s">
        <v>30</v>
      </c>
      <c r="B68" s="2">
        <v>0.69499999999999995</v>
      </c>
    </row>
    <row r="69" spans="1:2" x14ac:dyDescent="0.25">
      <c r="A69" s="2" t="s">
        <v>31</v>
      </c>
      <c r="B69" s="2">
        <v>0.69899999999999995</v>
      </c>
    </row>
    <row r="70" spans="1:2" x14ac:dyDescent="0.25">
      <c r="A70" s="2" t="s">
        <v>56</v>
      </c>
      <c r="B70" s="2"/>
    </row>
    <row r="71" spans="1:2" x14ac:dyDescent="0.25">
      <c r="A71" s="2" t="s">
        <v>30</v>
      </c>
      <c r="B71" s="2">
        <v>0.72</v>
      </c>
    </row>
    <row r="72" spans="1:2" x14ac:dyDescent="0.25">
      <c r="A72" s="2" t="s">
        <v>31</v>
      </c>
      <c r="B72" s="2">
        <v>0.72199999999999998</v>
      </c>
    </row>
    <row r="73" spans="1:2" x14ac:dyDescent="0.25">
      <c r="A73" s="2" t="s">
        <v>100</v>
      </c>
      <c r="B73" s="2"/>
    </row>
    <row r="74" spans="1:2" x14ac:dyDescent="0.25">
      <c r="A74" s="2" t="s">
        <v>30</v>
      </c>
      <c r="B74" s="2">
        <v>0.71399999999999997</v>
      </c>
    </row>
    <row r="75" spans="1:2" x14ac:dyDescent="0.25">
      <c r="A75" s="2" t="s">
        <v>31</v>
      </c>
      <c r="B75" s="2">
        <v>0.72599999999999998</v>
      </c>
    </row>
    <row r="76" spans="1:2" x14ac:dyDescent="0.25">
      <c r="A76" s="2" t="s">
        <v>15</v>
      </c>
      <c r="B76" s="2"/>
    </row>
    <row r="77" spans="1:2" x14ac:dyDescent="0.25">
      <c r="A77" s="2" t="s">
        <v>30</v>
      </c>
      <c r="B77" s="2">
        <v>0.71399999999999997</v>
      </c>
    </row>
    <row r="78" spans="1:2" x14ac:dyDescent="0.25">
      <c r="A78" s="2" t="s">
        <v>31</v>
      </c>
      <c r="B78" s="2">
        <v>0.72899999999999998</v>
      </c>
    </row>
    <row r="79" spans="1:2" x14ac:dyDescent="0.25">
      <c r="A79" s="2" t="s">
        <v>43</v>
      </c>
      <c r="B79" s="2"/>
    </row>
    <row r="80" spans="1:2" x14ac:dyDescent="0.25">
      <c r="A80" s="2" t="s">
        <v>30</v>
      </c>
      <c r="B80" s="2">
        <v>0.746</v>
      </c>
    </row>
    <row r="81" spans="1:2" x14ac:dyDescent="0.25">
      <c r="A81" s="2" t="s">
        <v>31</v>
      </c>
      <c r="B81" s="2">
        <v>0.76700000000000002</v>
      </c>
    </row>
    <row r="82" spans="1:2" x14ac:dyDescent="0.25">
      <c r="A82" s="2" t="s">
        <v>16</v>
      </c>
      <c r="B82" s="2"/>
    </row>
    <row r="83" spans="1:2" x14ac:dyDescent="0.25">
      <c r="A83" s="2" t="s">
        <v>30</v>
      </c>
      <c r="B83" s="2">
        <v>0.76400000000000001</v>
      </c>
    </row>
    <row r="84" spans="1:2" x14ac:dyDescent="0.25">
      <c r="A84" s="2" t="s">
        <v>31</v>
      </c>
      <c r="B84" s="2">
        <v>0.77400000000000002</v>
      </c>
    </row>
    <row r="85" spans="1:2" x14ac:dyDescent="0.25">
      <c r="A85" s="2" t="s">
        <v>72</v>
      </c>
      <c r="B85" s="2"/>
    </row>
    <row r="86" spans="1:2" x14ac:dyDescent="0.25">
      <c r="A86" s="2" t="s">
        <v>30</v>
      </c>
      <c r="B86" s="2">
        <v>0.74399999999999999</v>
      </c>
    </row>
    <row r="87" spans="1:2" x14ac:dyDescent="0.25">
      <c r="A87" s="2" t="s">
        <v>31</v>
      </c>
      <c r="B87" s="2">
        <v>0.75800000000000001</v>
      </c>
    </row>
    <row r="88" spans="1:2" x14ac:dyDescent="0.25">
      <c r="A88" s="2" t="s">
        <v>18</v>
      </c>
      <c r="B88" s="2"/>
    </row>
    <row r="89" spans="1:2" x14ac:dyDescent="0.25">
      <c r="A89" s="2" t="s">
        <v>30</v>
      </c>
      <c r="B89" s="2">
        <v>0.69199999999999995</v>
      </c>
    </row>
    <row r="90" spans="1:2" x14ac:dyDescent="0.25">
      <c r="A90" s="2" t="s">
        <v>31</v>
      </c>
      <c r="B90" s="2">
        <v>0.70099999999999996</v>
      </c>
    </row>
    <row r="91" spans="1:2" x14ac:dyDescent="0.25">
      <c r="A91" s="2" t="s">
        <v>96</v>
      </c>
      <c r="B91" s="2"/>
    </row>
    <row r="92" spans="1:2" x14ac:dyDescent="0.25">
      <c r="A92" s="2" t="s">
        <v>30</v>
      </c>
      <c r="B92" s="2">
        <v>0.73499999999999999</v>
      </c>
    </row>
    <row r="93" spans="1:2" x14ac:dyDescent="0.25">
      <c r="A93" s="2" t="s">
        <v>31</v>
      </c>
      <c r="B93" s="2">
        <v>0.748</v>
      </c>
    </row>
    <row r="94" spans="1:2" x14ac:dyDescent="0.25">
      <c r="A94" s="2" t="s">
        <v>73</v>
      </c>
      <c r="B94" s="2"/>
    </row>
    <row r="95" spans="1:2" x14ac:dyDescent="0.25">
      <c r="A95" s="2" t="s">
        <v>30</v>
      </c>
      <c r="B95" s="2">
        <v>0.752</v>
      </c>
    </row>
    <row r="96" spans="1:2" x14ac:dyDescent="0.25">
      <c r="A96" s="2" t="s">
        <v>31</v>
      </c>
      <c r="B96" s="2">
        <v>0.76100000000000001</v>
      </c>
    </row>
    <row r="97" spans="1:2" x14ac:dyDescent="0.25">
      <c r="A97" s="2" t="s">
        <v>57</v>
      </c>
      <c r="B97" s="2"/>
    </row>
    <row r="98" spans="1:2" x14ac:dyDescent="0.25">
      <c r="A98" s="2" t="s">
        <v>30</v>
      </c>
      <c r="B98" s="2">
        <v>0.70899999999999996</v>
      </c>
    </row>
    <row r="99" spans="1:2" x14ac:dyDescent="0.25">
      <c r="A99" s="2" t="s">
        <v>31</v>
      </c>
      <c r="B99" s="2">
        <v>0.72099999999999997</v>
      </c>
    </row>
    <row r="100" spans="1:2" x14ac:dyDescent="0.25">
      <c r="A100" s="2" t="s">
        <v>75</v>
      </c>
      <c r="B100" s="2"/>
    </row>
    <row r="101" spans="1:2" x14ac:dyDescent="0.25">
      <c r="A101" s="2" t="s">
        <v>30</v>
      </c>
      <c r="B101" s="2">
        <v>0.72699999999999998</v>
      </c>
    </row>
    <row r="102" spans="1:2" x14ac:dyDescent="0.25">
      <c r="A102" s="2" t="s">
        <v>31</v>
      </c>
      <c r="B102" s="2">
        <v>0.73299999999999998</v>
      </c>
    </row>
    <row r="103" spans="1:2" x14ac:dyDescent="0.25">
      <c r="A103" s="2" t="s">
        <v>45</v>
      </c>
      <c r="B103" s="2"/>
    </row>
    <row r="104" spans="1:2" x14ac:dyDescent="0.25">
      <c r="A104" s="2" t="s">
        <v>30</v>
      </c>
      <c r="B104" s="2">
        <v>0.75900000000000001</v>
      </c>
    </row>
    <row r="105" spans="1:2" x14ac:dyDescent="0.25">
      <c r="A105" s="2" t="s">
        <v>31</v>
      </c>
      <c r="B105" s="2">
        <v>0.77300000000000002</v>
      </c>
    </row>
    <row r="106" spans="1:2" x14ac:dyDescent="0.25">
      <c r="A106" s="2" t="s">
        <v>21</v>
      </c>
      <c r="B106" s="2"/>
    </row>
    <row r="107" spans="1:2" x14ac:dyDescent="0.25">
      <c r="A107" s="2" t="s">
        <v>30</v>
      </c>
      <c r="B107" s="2">
        <v>0.72599999999999998</v>
      </c>
    </row>
    <row r="108" spans="1:2" x14ac:dyDescent="0.25">
      <c r="A108" s="2" t="s">
        <v>31</v>
      </c>
      <c r="B108" s="2">
        <v>0.72899999999999998</v>
      </c>
    </row>
    <row r="109" spans="1:2" x14ac:dyDescent="0.25">
      <c r="A109" s="2" t="s">
        <v>58</v>
      </c>
      <c r="B109" s="2"/>
    </row>
    <row r="110" spans="1:2" x14ac:dyDescent="0.25">
      <c r="A110" s="2" t="s">
        <v>30</v>
      </c>
      <c r="B110" s="2">
        <v>0.7</v>
      </c>
    </row>
    <row r="111" spans="1:2" x14ac:dyDescent="0.25">
      <c r="A111" s="2" t="s">
        <v>31</v>
      </c>
      <c r="B111" s="2">
        <v>0.71599999999999997</v>
      </c>
    </row>
    <row r="112" spans="1:2" x14ac:dyDescent="0.25">
      <c r="A112" s="2" t="s">
        <v>59</v>
      </c>
      <c r="B112" s="2"/>
    </row>
    <row r="113" spans="1:2" x14ac:dyDescent="0.25">
      <c r="A113" s="2" t="s">
        <v>30</v>
      </c>
      <c r="B113" s="2">
        <v>0.73099999999999998</v>
      </c>
    </row>
    <row r="114" spans="1:2" x14ac:dyDescent="0.25">
      <c r="A114" s="2" t="s">
        <v>31</v>
      </c>
      <c r="B114" s="2">
        <v>0.73599999999999999</v>
      </c>
    </row>
    <row r="115" spans="1:2" x14ac:dyDescent="0.25">
      <c r="A115" s="2" t="s">
        <v>87</v>
      </c>
      <c r="B115" s="2"/>
    </row>
    <row r="116" spans="1:2" x14ac:dyDescent="0.25">
      <c r="A116" s="2" t="s">
        <v>30</v>
      </c>
      <c r="B116" s="2">
        <v>0.75800000000000001</v>
      </c>
    </row>
    <row r="117" spans="1:2" x14ac:dyDescent="0.25">
      <c r="A117" s="2" t="s">
        <v>31</v>
      </c>
      <c r="B117" s="2">
        <v>0.76200000000000001</v>
      </c>
    </row>
    <row r="118" spans="1:2" x14ac:dyDescent="0.25">
      <c r="A118" s="2" t="s">
        <v>76</v>
      </c>
      <c r="B118" s="2"/>
    </row>
    <row r="119" spans="1:2" x14ac:dyDescent="0.25">
      <c r="A119" s="2" t="s">
        <v>30</v>
      </c>
      <c r="B119" s="2">
        <v>0.75</v>
      </c>
    </row>
    <row r="120" spans="1:2" x14ac:dyDescent="0.25">
      <c r="A120" s="2" t="s">
        <v>31</v>
      </c>
      <c r="B120" s="2">
        <v>0.754</v>
      </c>
    </row>
    <row r="121" spans="1:2" x14ac:dyDescent="0.25">
      <c r="A121" s="2" t="s">
        <v>60</v>
      </c>
      <c r="B121" s="2"/>
    </row>
    <row r="122" spans="1:2" x14ac:dyDescent="0.25">
      <c r="A122" s="2" t="s">
        <v>30</v>
      </c>
      <c r="B122" s="2">
        <v>0.76800000000000002</v>
      </c>
    </row>
    <row r="123" spans="1:2" x14ac:dyDescent="0.25">
      <c r="A123" s="2" t="s">
        <v>31</v>
      </c>
      <c r="B123" s="2">
        <v>0.77700000000000002</v>
      </c>
    </row>
    <row r="124" spans="1:2" x14ac:dyDescent="0.25">
      <c r="A124" s="2" t="s">
        <v>47</v>
      </c>
      <c r="B124" s="2"/>
    </row>
    <row r="125" spans="1:2" x14ac:dyDescent="0.25">
      <c r="A125" s="2" t="s">
        <v>30</v>
      </c>
      <c r="B125" s="2">
        <v>0.70899999999999996</v>
      </c>
    </row>
    <row r="126" spans="1:2" x14ac:dyDescent="0.25">
      <c r="A126" s="2" t="s">
        <v>31</v>
      </c>
      <c r="B126" s="2">
        <v>0.71299999999999997</v>
      </c>
    </row>
    <row r="127" spans="1:2" x14ac:dyDescent="0.25">
      <c r="A127" s="2" t="s">
        <v>88</v>
      </c>
      <c r="B127" s="2"/>
    </row>
    <row r="128" spans="1:2" x14ac:dyDescent="0.25">
      <c r="A128" s="2" t="s">
        <v>30</v>
      </c>
      <c r="B128" s="2">
        <v>0.68400000000000005</v>
      </c>
    </row>
    <row r="129" spans="1:2" x14ac:dyDescent="0.25">
      <c r="A129" s="2" t="s">
        <v>31</v>
      </c>
      <c r="B129" s="2">
        <v>0.68700000000000006</v>
      </c>
    </row>
    <row r="130" spans="1:2" x14ac:dyDescent="0.25">
      <c r="A130" s="2" t="s">
        <v>23</v>
      </c>
      <c r="B130" s="2"/>
    </row>
    <row r="131" spans="1:2" x14ac:dyDescent="0.25">
      <c r="A131" s="2" t="s">
        <v>30</v>
      </c>
      <c r="B131" s="2">
        <v>0.76800000000000002</v>
      </c>
    </row>
    <row r="132" spans="1:2" x14ac:dyDescent="0.25">
      <c r="A132" s="2" t="s">
        <v>31</v>
      </c>
      <c r="B132" s="2">
        <v>0.77100000000000002</v>
      </c>
    </row>
    <row r="133" spans="1:2" x14ac:dyDescent="0.25">
      <c r="A133" s="2" t="s">
        <v>48</v>
      </c>
      <c r="B133" s="2"/>
    </row>
    <row r="134" spans="1:2" x14ac:dyDescent="0.25">
      <c r="A134" s="2" t="s">
        <v>30</v>
      </c>
      <c r="B134" s="2">
        <v>0.78100000000000003</v>
      </c>
    </row>
    <row r="135" spans="1:2" x14ac:dyDescent="0.25">
      <c r="A135" s="2" t="s">
        <v>31</v>
      </c>
      <c r="B135" s="2">
        <v>0.78300000000000003</v>
      </c>
    </row>
    <row r="136" spans="1:2" x14ac:dyDescent="0.25">
      <c r="A136" s="2" t="s">
        <v>24</v>
      </c>
      <c r="B136" s="2"/>
    </row>
    <row r="137" spans="1:2" x14ac:dyDescent="0.25">
      <c r="A137" s="2" t="s">
        <v>30</v>
      </c>
      <c r="B137" s="2">
        <v>0.68400000000000005</v>
      </c>
    </row>
    <row r="138" spans="1:2" x14ac:dyDescent="0.25">
      <c r="A138" s="2" t="s">
        <v>31</v>
      </c>
      <c r="B138" s="2">
        <v>0.68899999999999995</v>
      </c>
    </row>
    <row r="139" spans="1:2" x14ac:dyDescent="0.25">
      <c r="A139" s="2" t="s">
        <v>80</v>
      </c>
      <c r="B139" s="2"/>
    </row>
    <row r="140" spans="1:2" x14ac:dyDescent="0.25">
      <c r="A140" s="2" t="s">
        <v>30</v>
      </c>
      <c r="B140" s="2">
        <v>0.70399999999999996</v>
      </c>
    </row>
    <row r="141" spans="1:2" x14ac:dyDescent="0.25">
      <c r="A141" s="2" t="s">
        <v>31</v>
      </c>
      <c r="B141" s="2">
        <v>0.71299999999999997</v>
      </c>
    </row>
    <row r="142" spans="1:2" x14ac:dyDescent="0.25">
      <c r="A142" s="2" t="s">
        <v>49</v>
      </c>
      <c r="B142" s="2"/>
    </row>
    <row r="143" spans="1:2" x14ac:dyDescent="0.25">
      <c r="A143" s="2" t="s">
        <v>30</v>
      </c>
      <c r="B143" s="2">
        <v>0.72699999999999998</v>
      </c>
    </row>
    <row r="144" spans="1:2" x14ac:dyDescent="0.25">
      <c r="A144" s="2" t="s">
        <v>31</v>
      </c>
      <c r="B144" s="2">
        <v>0.72799999999999998</v>
      </c>
    </row>
    <row r="145" spans="1:2" x14ac:dyDescent="0.25">
      <c r="A145" s="2" t="s">
        <v>81</v>
      </c>
      <c r="B145" s="2"/>
    </row>
    <row r="146" spans="1:2" x14ac:dyDescent="0.25">
      <c r="A146" s="2" t="s">
        <v>30</v>
      </c>
      <c r="B146" s="2">
        <v>0.69299999999999995</v>
      </c>
    </row>
    <row r="147" spans="1:2" x14ac:dyDescent="0.25">
      <c r="A147" s="2" t="s">
        <v>31</v>
      </c>
      <c r="B147" s="2">
        <v>0.69699999999999995</v>
      </c>
    </row>
    <row r="148" spans="1:2" x14ac:dyDescent="0.25">
      <c r="A148" s="2" t="s">
        <v>62</v>
      </c>
      <c r="B148" s="2"/>
    </row>
    <row r="149" spans="1:2" x14ac:dyDescent="0.25">
      <c r="A149" s="2" t="s">
        <v>30</v>
      </c>
      <c r="B149" s="2">
        <v>0.70699999999999996</v>
      </c>
    </row>
    <row r="150" spans="1:2" x14ac:dyDescent="0.25">
      <c r="A150" s="2" t="s">
        <v>31</v>
      </c>
      <c r="B150" s="2">
        <v>0.71199999999999997</v>
      </c>
    </row>
    <row r="151" spans="1:2" x14ac:dyDescent="0.25">
      <c r="A151" s="2" t="s">
        <v>91</v>
      </c>
      <c r="B151" s="2"/>
    </row>
    <row r="152" spans="1:2" x14ac:dyDescent="0.25">
      <c r="A152" s="2" t="s">
        <v>30</v>
      </c>
      <c r="B152" s="2">
        <v>0.74</v>
      </c>
    </row>
    <row r="153" spans="1:2" x14ac:dyDescent="0.25">
      <c r="A153" s="2" t="s">
        <v>31</v>
      </c>
      <c r="B153" s="2">
        <v>0.74099999999999999</v>
      </c>
    </row>
    <row r="154" spans="1:2" x14ac:dyDescent="0.25">
      <c r="A154" s="2" t="s">
        <v>63</v>
      </c>
      <c r="B154" s="2"/>
    </row>
    <row r="155" spans="1:2" x14ac:dyDescent="0.25">
      <c r="A155" s="2" t="s">
        <v>30</v>
      </c>
      <c r="B155" s="2">
        <v>0.69</v>
      </c>
    </row>
    <row r="156" spans="1:2" x14ac:dyDescent="0.25">
      <c r="A156" s="2" t="s">
        <v>31</v>
      </c>
      <c r="B156" s="2">
        <v>0.69299999999999995</v>
      </c>
    </row>
    <row r="157" spans="1:2" x14ac:dyDescent="0.25">
      <c r="A157" s="2" t="s">
        <v>27</v>
      </c>
      <c r="B157" s="2"/>
    </row>
    <row r="158" spans="1:2" x14ac:dyDescent="0.25">
      <c r="A158" s="2" t="s">
        <v>30</v>
      </c>
      <c r="B158" s="2">
        <v>0.70199999999999996</v>
      </c>
    </row>
    <row r="159" spans="1:2" x14ac:dyDescent="0.25">
      <c r="A159" s="2" t="s">
        <v>31</v>
      </c>
      <c r="B159" s="2">
        <v>0.71099999999999997</v>
      </c>
    </row>
    <row r="160" spans="1:2" x14ac:dyDescent="0.25">
      <c r="A160" s="2" t="s">
        <v>28</v>
      </c>
      <c r="B160" s="2"/>
    </row>
    <row r="161" spans="1:2" x14ac:dyDescent="0.25">
      <c r="A161" s="2" t="s">
        <v>30</v>
      </c>
      <c r="B161" s="2">
        <v>0.69799999999999995</v>
      </c>
    </row>
    <row r="162" spans="1:2" x14ac:dyDescent="0.25">
      <c r="A162" s="2" t="s">
        <v>31</v>
      </c>
      <c r="B162" s="2">
        <v>0.70199999999999996</v>
      </c>
    </row>
    <row r="163" spans="1:2" x14ac:dyDescent="0.25">
      <c r="A163" s="2" t="s">
        <v>98</v>
      </c>
      <c r="B163" s="2"/>
    </row>
    <row r="164" spans="1:2" x14ac:dyDescent="0.25">
      <c r="A164" s="2" t="s">
        <v>30</v>
      </c>
      <c r="B164" s="2">
        <v>0.71299999999999997</v>
      </c>
    </row>
    <row r="165" spans="1:2" x14ac:dyDescent="0.25">
      <c r="A165" s="2" t="s">
        <v>31</v>
      </c>
      <c r="B165" s="2">
        <v>0.71499999999999997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100_10</vt:lpstr>
      <vt:lpstr>100_20</vt:lpstr>
      <vt:lpstr>100_30</vt:lpstr>
      <vt:lpstr>100_60</vt:lpstr>
      <vt:lpstr>200_60</vt:lpstr>
      <vt:lpstr>300_60</vt:lpstr>
      <vt:lpstr>400_60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OemPC</dc:creator>
  <cp:lastModifiedBy>OemPC</cp:lastModifiedBy>
  <dcterms:created xsi:type="dcterms:W3CDTF">2015-06-05T18:19:34Z</dcterms:created>
  <dcterms:modified xsi:type="dcterms:W3CDTF">2022-02-05T21:17:11Z</dcterms:modified>
</cp:coreProperties>
</file>